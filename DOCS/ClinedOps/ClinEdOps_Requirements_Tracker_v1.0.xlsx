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Requirements" sheetId="1" state="visible" r:id="rId3"/>
    <sheet name="Dashboard" sheetId="2" state="visible" r:id="rId4"/>
    <sheet name="Success KPIs" sheetId="3" state="visible" r:id="rId5"/>
    <sheet name="Out of Scope" sheetId="4" state="visible" r:id="rId6"/>
  </sheets>
  <definedNames>
    <definedName function="false" hidden="true" localSheetId="0" name="_xlnm._FilterDatabase" vbProcedure="false">'All Requirements'!$A$4:$L$196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<sst xmlns="http://schemas.openxmlformats.org/spreadsheetml/2006/main" count="1681" uniqueCount="859">
  <si>
    <t xml:space="preserve">ClinEdOps — Master Requirements Tracker</t>
  </si>
  <si>
    <t xml:space="preserve">NUH Medical Affairs (Education) — IMDA Open Innovation Challenge Call 28 | Prepared by SlashLLM | April 2026</t>
  </si>
  <si>
    <t xml:space="preserve">Req ID</t>
  </si>
  <si>
    <t xml:space="preserve">Module / Area</t>
  </si>
  <si>
    <t xml:space="preserve">Category</t>
  </si>
  <si>
    <t xml:space="preserve">Requirement</t>
  </si>
  <si>
    <t xml:space="preserve">Description</t>
  </si>
  <si>
    <t xml:space="preserve">Priority</t>
  </si>
  <si>
    <t xml:space="preserve">Source</t>
  </si>
  <si>
    <t xml:space="preserve">Acceptance Criteria</t>
  </si>
  <si>
    <t xml:space="preserve">Status</t>
  </si>
  <si>
    <t xml:space="preserve">Assigned To</t>
  </si>
  <si>
    <t xml:space="preserve">Sprint</t>
  </si>
  <si>
    <t xml:space="preserve">Notes</t>
  </si>
  <si>
    <t xml:space="preserve">FR-STU-001</t>
  </si>
  <si>
    <t xml:space="preserve">Student &amp; Tutor Lifecycle</t>
  </si>
  <si>
    <t xml:space="preserve">Functional</t>
  </si>
  <si>
    <t xml:space="preserve">Student profile creation</t>
  </si>
  <si>
    <t xml:space="preserve">Create student records with fields: full name, student code, institution, discipline, programme, cohort, academic cycle, posting status</t>
  </si>
  <si>
    <t xml:space="preserve">P0</t>
  </si>
  <si>
    <t xml:space="preserve">CB, PRD</t>
  </si>
  <si>
    <t xml:space="preserve">Student record created with all mandatory fields validated; appears in student list</t>
  </si>
  <si>
    <t xml:space="preserve">FR-STU-002</t>
  </si>
  <si>
    <t xml:space="preserve">Student status lifecycle tracking</t>
  </si>
  <si>
    <t xml:space="preserve">Track student status: Pending Onboard → Active → Completed → Offboarded. Status transitions auditable</t>
  </si>
  <si>
    <t xml:space="preserve">Status changes reflected in real-time; each transition logged in audit trail</t>
  </si>
  <si>
    <t xml:space="preserve">FR-STU-003</t>
  </si>
  <si>
    <t xml:space="preserve">Assign students to postings</t>
  </si>
  <si>
    <t xml:space="preserve">Assign students to departments, postings, tutors, and academic cycles with date ranges</t>
  </si>
  <si>
    <t xml:space="preserve">Student linked to posting with start/end dates; visible on student profile and posting detail</t>
  </si>
  <si>
    <t xml:space="preserve">FR-STU-004</t>
  </si>
  <si>
    <t xml:space="preserve">Student detail view</t>
  </si>
  <si>
    <t xml:space="preserve">View student profile card with posting history timeline, feedback received, teaching hours, and audit trail</t>
  </si>
  <si>
    <t xml:space="preserve">PRD</t>
  </si>
  <si>
    <t xml:space="preserve">All associated data rendered on single profile page with timeline view</t>
  </si>
  <si>
    <t xml:space="preserve">FR-STU-005</t>
  </si>
  <si>
    <t xml:space="preserve">Student list with filters</t>
  </si>
  <si>
    <t xml:space="preserve">Filterable student list by discipline, institution, status, academic cycle. Sortable table with bulk actions and export</t>
  </si>
  <si>
    <t xml:space="preserve">Filters reduce results correctly; sort toggles work; CSV/Excel export produces valid file</t>
  </si>
  <si>
    <t xml:space="preserve">FR-STU-006</t>
  </si>
  <si>
    <t xml:space="preserve">Single student creation form</t>
  </si>
  <si>
    <t xml:space="preserve">Add individual student via form with field-level validation (required fields, format checks, duplicate detection)</t>
  </si>
  <si>
    <t xml:space="preserve">Form validates all required fields; duplicate student code rejected with error message</t>
  </si>
  <si>
    <t xml:space="preserve">FR-STU-007</t>
  </si>
  <si>
    <t xml:space="preserve">Student record editing</t>
  </si>
  <si>
    <t xml:space="preserve">Update existing student records (programme admin and above)</t>
  </si>
  <si>
    <t xml:space="preserve">Edits saved successfully; changes logged in audit trail with before/after values</t>
  </si>
  <si>
    <t xml:space="preserve">FR-STU-008</t>
  </si>
  <si>
    <t xml:space="preserve">Student soft delete</t>
  </si>
  <si>
    <t xml:space="preserve">Deactivate student records (super admin only) without hard deletion. Soft-deleted records retained for historical/audit</t>
  </si>
  <si>
    <t xml:space="preserve">P1</t>
  </si>
  <si>
    <t xml:space="preserve">Student marked inactive; excluded from active lists; data retained in database</t>
  </si>
  <si>
    <t xml:space="preserve">FR-STU-009</t>
  </si>
  <si>
    <t xml:space="preserve">Student offboarding workflow</t>
  </si>
  <si>
    <t xml:space="preserve">Offline offboarding process capturing final data, posting completion status, and feedback closure</t>
  </si>
  <si>
    <t xml:space="preserve">Offboarding checklist completed; student status moves to Offboarded; final data captured</t>
  </si>
  <si>
    <t xml:space="preserve">FR-STU-010</t>
  </si>
  <si>
    <t xml:space="preserve">Historical student record retention</t>
  </si>
  <si>
    <t xml:space="preserve">Retain completed/offboarded student records indefinitely for accreditation and audit</t>
  </si>
  <si>
    <t xml:space="preserve">Historical records accessible via search/filter; no data loss after academic cycle closure</t>
  </si>
  <si>
    <t xml:space="preserve">FR-TUT-001</t>
  </si>
  <si>
    <t xml:space="preserve">Tutor profile creation</t>
  </si>
  <si>
    <t xml:space="preserve">Create tutor records with: full name, staff code, department, specialty, discipline, billable rate (SGD), status</t>
  </si>
  <si>
    <t xml:space="preserve">Tutor record created; billable rate stored as NUMERIC(10,2); appears in tutor list</t>
  </si>
  <si>
    <t xml:space="preserve">FR-TUT-002</t>
  </si>
  <si>
    <t xml:space="preserve">Tutor detail view</t>
  </si>
  <si>
    <t xml:space="preserve">View tutor profile with teaching hours by cycle, feedback summary, billing summary, and assigned students</t>
  </si>
  <si>
    <t xml:space="preserve">All associated data rendered; hours aggregated correctly by cycle</t>
  </si>
  <si>
    <t xml:space="preserve">FR-TUT-003</t>
  </si>
  <si>
    <t xml:space="preserve">Tutor list with filters</t>
  </si>
  <si>
    <t xml:space="preserve">Filterable, sortable tutor list showing current teaching load and status badges</t>
  </si>
  <si>
    <t xml:space="preserve">Filters work correctly; teaching load calculated from approved hours</t>
  </si>
  <si>
    <t xml:space="preserve">FR-TUT-004</t>
  </si>
  <si>
    <t xml:space="preserve">Tutor record editing</t>
  </si>
  <si>
    <t xml:space="preserve">Update tutor records including billable rate changes (admin only)</t>
  </si>
  <si>
    <t xml:space="preserve">Edits saved; billable rate changes logged in audit trail</t>
  </si>
  <si>
    <t xml:space="preserve">FR-TUT-005</t>
  </si>
  <si>
    <t xml:space="preserve">Tutor billing data export</t>
  </si>
  <si>
    <t xml:space="preserve">Export billing-ready hours data per tutor with approved hours mapped to billable rates</t>
  </si>
  <si>
    <t xml:space="preserve">Export produces accurate billing summary with hours × rate calculations</t>
  </si>
  <si>
    <t xml:space="preserve">FR-TUT-006</t>
  </si>
  <si>
    <t xml:space="preserve">Tutor active/inactive toggle</t>
  </si>
  <si>
    <t xml:space="preserve">Deactivate tutors who are no longer teaching without deleting historical data</t>
  </si>
  <si>
    <t xml:space="preserve">Inactive tutors hidden from assignment dropdowns; historical data preserved</t>
  </si>
  <si>
    <t xml:space="preserve">FR-PST-001</t>
  </si>
  <si>
    <t xml:space="preserve">Postings Management</t>
  </si>
  <si>
    <t xml:space="preserve">Create posting</t>
  </si>
  <si>
    <t xml:space="preserve">Create postings with: student assignment, department, academic cycle, start/end date, primary tutor, status</t>
  </si>
  <si>
    <t xml:space="preserve">Posting created with all fields; appears on calendar and table views</t>
  </si>
  <si>
    <t xml:space="preserve">FR-PST-002</t>
  </si>
  <si>
    <t xml:space="preserve">Posting status lifecycle</t>
  </si>
  <si>
    <t xml:space="preserve">Track posting status: Scheduled → Active → Completed → Cancelled</t>
  </si>
  <si>
    <t xml:space="preserve">Status transitions enforced; automated status change on start/end dates</t>
  </si>
  <si>
    <t xml:space="preserve">FR-PST-003</t>
  </si>
  <si>
    <t xml:space="preserve">Assign multiple tutors to posting</t>
  </si>
  <si>
    <t xml:space="preserve">Link multiple tutors to a single posting via junction table with role labels (primary, ad hoc)</t>
  </si>
  <si>
    <t xml:space="preserve">Multiple tutors assigned; roles visible on posting detail page</t>
  </si>
  <si>
    <t xml:space="preserve">FR-PST-004</t>
  </si>
  <si>
    <t xml:space="preserve">Posting list views</t>
  </si>
  <si>
    <t xml:space="preserve">Display postings in calendar and table view; filter by department, discipline, date range, status</t>
  </si>
  <si>
    <t xml:space="preserve">Both views render correctly; filters reduce results accurately</t>
  </si>
  <si>
    <t xml:space="preserve">FR-PST-005</t>
  </si>
  <si>
    <t xml:space="preserve">Posting detail view</t>
  </si>
  <si>
    <t xml:space="preserve">View posting with: student info, assigned tutors, teaching sessions, survey status, timeline</t>
  </si>
  <si>
    <t xml:space="preserve">All related data displayed; survey completion status visible</t>
  </si>
  <si>
    <t xml:space="preserve">FR-PST-006</t>
  </si>
  <si>
    <t xml:space="preserve">Edit posting</t>
  </si>
  <si>
    <t xml:space="preserve">Update posting dates, tutor assignments, department (admin only)</t>
  </si>
  <si>
    <t xml:space="preserve">Changes saved; audit trail captures before/after; linked sessions unaffected</t>
  </si>
  <si>
    <t xml:space="preserve">FR-TH-001</t>
  </si>
  <si>
    <t xml:space="preserve">Teaching Hours Tracking</t>
  </si>
  <si>
    <t xml:space="preserve">Log teaching session</t>
  </si>
  <si>
    <t xml:space="preserve">Tutors log sessions with: date, time, duration, session type, linked students, department, description</t>
  </si>
  <si>
    <t xml:space="preserve">Session created with all fields; duration stored as INTEGER minutes</t>
  </si>
  <si>
    <t xml:space="preserve">FR-TH-002</t>
  </si>
  <si>
    <t xml:space="preserve">Bulk session creation</t>
  </si>
  <si>
    <t xml:space="preserve">Create multiple recurring scheduled sessions in one action</t>
  </si>
  <si>
    <t xml:space="preserve">Multiple sessions created matching recurrence pattern; each individually editable</t>
  </si>
  <si>
    <t xml:space="preserve">FR-TH-003</t>
  </si>
  <si>
    <t xml:space="preserve">Save session as draft</t>
  </si>
  <si>
    <t xml:space="preserve">Tutors can save incomplete session entries as drafts before submission</t>
  </si>
  <si>
    <t xml:space="preserve">Draft saved; retrievable from My Sessions list; editable before submission</t>
  </si>
  <si>
    <t xml:space="preserve">FR-TH-004</t>
  </si>
  <si>
    <t xml:space="preserve">Submit session for approval</t>
  </si>
  <si>
    <t xml:space="preserve">Tutor submits session entry, changing status from draft to submitted</t>
  </si>
  <si>
    <t xml:space="preserve">Status changes to submitted; notification sent to supervisor</t>
  </si>
  <si>
    <t xml:space="preserve">FR-TH-005</t>
  </si>
  <si>
    <t xml:space="preserve">Multi-level approval workflow</t>
  </si>
  <si>
    <t xml:space="preserve">Approval chain: Tutor submits → Supervisor reviews → Admin approves</t>
  </si>
  <si>
    <t xml:space="preserve">Status progresses through workflow; each approval logged with approver ID and timestamp</t>
  </si>
  <si>
    <t xml:space="preserve">FR-TH-006</t>
  </si>
  <si>
    <t xml:space="preserve">Reject session with reason</t>
  </si>
  <si>
    <t xml:space="preserve">Supervisor or admin can reject a submitted session with mandatory reason text</t>
  </si>
  <si>
    <t xml:space="preserve">Status changes to rejected; reason stored; tutor notified with reason</t>
  </si>
  <si>
    <t xml:space="preserve">FR-TH-007</t>
  </si>
  <si>
    <t xml:space="preserve">Flag session as anomalous</t>
  </si>
  <si>
    <t xml:space="preserve">Admin can flag sessions for review (duplicate detection, high hours, outside posting period)</t>
  </si>
  <si>
    <t xml:space="preserve">Flagged sessions visually distinguished; appear in flagged items dashboard</t>
  </si>
  <si>
    <t xml:space="preserve">FR-TH-008</t>
  </si>
  <si>
    <t xml:space="preserve">Automated anomaly detection</t>
  </si>
  <si>
    <t xml:space="preserve">Auto-flag: duplicate sessions, unusually high hours (configurable threshold), sessions outside posting period</t>
  </si>
  <si>
    <t xml:space="preserve">Auto-flags triggered correctly based on rules; flagged sessions require manual review</t>
  </si>
  <si>
    <t xml:space="preserve">FR-TH-009</t>
  </si>
  <si>
    <t xml:space="preserve">Student-side hour confirmation</t>
  </si>
  <si>
    <t xml:space="preserve">Students can optionally view and confirm their attendance at logged sessions</t>
  </si>
  <si>
    <t xml:space="preserve">Student confirmation status visible on session detail; optional — not blocking</t>
  </si>
  <si>
    <t xml:space="preserve">FR-TH-010</t>
  </si>
  <si>
    <t xml:space="preserve">Map hours to billable rates</t>
  </si>
  <si>
    <t xml:space="preserve">Approved hours automatically mapped to tutor's billable rate for compensation calculation</t>
  </si>
  <si>
    <t xml:space="preserve">Billable hours = approved minutes ÷ 60 × billable rate; calculation verified</t>
  </si>
  <si>
    <t xml:space="preserve">FR-TH-011</t>
  </si>
  <si>
    <t xml:space="preserve">Teaching hours dashboard</t>
  </si>
  <si>
    <t xml:space="preserve">Real-time dashboard showing approved, pending, and flagged hours by tutor, department, discipline</t>
  </si>
  <si>
    <t xml:space="preserve">Dashboard data matches database aggregations; filters work correctly</t>
  </si>
  <si>
    <t xml:space="preserve">FR-TH-012</t>
  </si>
  <si>
    <t xml:space="preserve">My Sessions view (Tutor)</t>
  </si>
  <si>
    <t xml:space="preserve">Personal list of sessions with status tags and hours summary</t>
  </si>
  <si>
    <t xml:space="preserve">Tutor sees only own sessions; totals match sum of individual sessions</t>
  </si>
  <si>
    <t xml:space="preserve">FR-TH-013</t>
  </si>
  <si>
    <t xml:space="preserve">Sessions admin view</t>
  </si>
  <si>
    <t xml:space="preserve">All sessions across tutors; filter by status, department, tutor; bulk approve; anomaly badges</t>
  </si>
  <si>
    <t xml:space="preserve">Admin sees all sessions; bulk approve changes status for selected items</t>
  </si>
  <si>
    <t xml:space="preserve">FR-TH-014</t>
  </si>
  <si>
    <t xml:space="preserve">Session detail view</t>
  </si>
  <si>
    <t xml:space="preserve">Full session info with approval history, student list, and audit trail</t>
  </si>
  <si>
    <t xml:space="preserve">Complete history displayed; audit trail shows all status changes</t>
  </si>
  <si>
    <t xml:space="preserve">FR-TH-015</t>
  </si>
  <si>
    <t xml:space="preserve">Teaching hours bar charts</t>
  </si>
  <si>
    <t xml:space="preserve">Bar charts showing hours by tutor/department; filterable by date/discipline; exportable</t>
  </si>
  <si>
    <t xml:space="preserve">Charts render correctly; data matches underlying records; export produces image/PDF</t>
  </si>
  <si>
    <t xml:space="preserve">FR-TH-016</t>
  </si>
  <si>
    <t xml:space="preserve">Export teaching hours summary</t>
  </si>
  <si>
    <t xml:space="preserve">Export hours summary for billing and payroll in Excel/CSV format</t>
  </si>
  <si>
    <t xml:space="preserve">Export contains all approved hours with tutor, department, dates, billable amounts</t>
  </si>
  <si>
    <t xml:space="preserve">FR-SV-001</t>
  </si>
  <si>
    <t xml:space="preserve">Survey &amp; Feedback Engine</t>
  </si>
  <si>
    <t xml:space="preserve">Survey template builder</t>
  </si>
  <si>
    <t xml:space="preserve">Create survey templates configurable by discipline, posting type, semester, or academic cycle</t>
  </si>
  <si>
    <t xml:space="preserve">Template created with all configuration options; saved and retrievable</t>
  </si>
  <si>
    <t xml:space="preserve">FR-SV-002</t>
  </si>
  <si>
    <t xml:space="preserve">Question types support</t>
  </si>
  <si>
    <t xml:space="preserve">Support question types: rating (Likert scale), free text, and multi-choice</t>
  </si>
  <si>
    <t xml:space="preserve">All three question types render correctly; responses captured accurately</t>
  </si>
  <si>
    <t xml:space="preserve">FR-SV-003</t>
  </si>
  <si>
    <t xml:space="preserve">5-point Likert scoring matrix</t>
  </si>
  <si>
    <t xml:space="preserve">Standard scoring matrix based out of 5 as required by challenge brief</t>
  </si>
  <si>
    <t xml:space="preserve">CB</t>
  </si>
  <si>
    <t xml:space="preserve">Rating questions display 1–5 scale; scores stored correctly</t>
  </si>
  <si>
    <t xml:space="preserve">FR-SV-004</t>
  </si>
  <si>
    <t xml:space="preserve">Drag-and-drop question builder</t>
  </si>
  <si>
    <t xml:space="preserve">Drag-and-drop interface for ordering and managing questions within templates</t>
  </si>
  <si>
    <t xml:space="preserve">Questions reorderable via drag; order persisted on save</t>
  </si>
  <si>
    <t xml:space="preserve">FR-SV-005</t>
  </si>
  <si>
    <t xml:space="preserve">Low-score threshold configuration</t>
  </si>
  <si>
    <t xml:space="preserve">Set configurable threshold (default &lt; 3/5) below which compulsory text comment is required</t>
  </si>
  <si>
    <t xml:space="preserve">Text field appears when rating ≤ threshold; submission blocked if text field empty</t>
  </si>
  <si>
    <t xml:space="preserve">FR-SV-006</t>
  </si>
  <si>
    <t xml:space="preserve">Low-score auto-flagging</t>
  </si>
  <si>
    <t xml:space="preserve">Auto-flag low-score submissions to programme admin and supervisor for follow-up</t>
  </si>
  <si>
    <t xml:space="preserve">Flagged submissions appear in admin dashboard; notification sent to relevant users</t>
  </si>
  <si>
    <t xml:space="preserve">FR-SV-007</t>
  </si>
  <si>
    <t xml:space="preserve">Batched/consolidated surveys</t>
  </si>
  <si>
    <t xml:space="preserve">Group multiple tutor interactions into a single daily/weekly survey per student</t>
  </si>
  <si>
    <t xml:space="preserve">Student receives one consolidated survey covering all interactions in the batch period</t>
  </si>
  <si>
    <t xml:space="preserve">FR-SV-008</t>
  </si>
  <si>
    <t xml:space="preserve">Configurable survey cadence</t>
  </si>
  <si>
    <t xml:space="preserve">Support per-posting, midpoint check-in, and end-of-posting survey dispatch schedules</t>
  </si>
  <si>
    <t xml:space="preserve">Surveys dispatched at configured cadence; correct students and tutors linked</t>
  </si>
  <si>
    <t xml:space="preserve">FR-SV-009</t>
  </si>
  <si>
    <t xml:space="preserve">Midpoint feedback form</t>
  </si>
  <si>
    <t xml:space="preserve">Structured qualitative check-in form dispatched at posting midpoint</t>
  </si>
  <si>
    <t xml:space="preserve">Midpoint survey dispatched halfway through posting period; distinct from end-of-posting</t>
  </si>
  <si>
    <t xml:space="preserve">FR-SV-010</t>
  </si>
  <si>
    <t xml:space="preserve">Automated survey reminders</t>
  </si>
  <si>
    <t xml:space="preserve">Configurable reminder intervals for incomplete survey submissions</t>
  </si>
  <si>
    <t xml:space="preserve">Reminders sent at configured intervals; stop after submission; escalation after threshold</t>
  </si>
  <si>
    <t xml:space="preserve">FR-SV-011</t>
  </si>
  <si>
    <t xml:space="preserve">Survey submission by student</t>
  </si>
  <si>
    <t xml:space="preserve">Form with progress bar, Likert scale ratings, conditional text fields, submit confirmation</t>
  </si>
  <si>
    <t xml:space="preserve">Student completes and submits; responses stored with timestamp</t>
  </si>
  <si>
    <t xml:space="preserve">FR-SV-012</t>
  </si>
  <si>
    <t xml:space="preserve">Pending surveys view (Student)</t>
  </si>
  <si>
    <t xml:space="preserve">Student sees list of pending surveys with due dates and progress indicator</t>
  </si>
  <si>
    <t xml:space="preserve">Only pending/incomplete surveys shown; progress accurate; one-click to start</t>
  </si>
  <si>
    <t xml:space="preserve">FR-SV-013</t>
  </si>
  <si>
    <t xml:space="preserve">Real-time submission rate monitoring</t>
  </si>
  <si>
    <t xml:space="preserve">Monitor submission rates by cohort, posting, and discipline in real-time</t>
  </si>
  <si>
    <t xml:space="preserve">Dashboard shows completion percentages; updates as submissions arrive</t>
  </si>
  <si>
    <t xml:space="preserve">FR-SV-014</t>
  </si>
  <si>
    <t xml:space="preserve">Positive/negative feedback categorisation</t>
  </si>
  <si>
    <t xml:space="preserve">Tools to filter and categorise feedback as positive or negative</t>
  </si>
  <si>
    <t xml:space="preserve">Feedback tagged by sentiment; filterable in admin view</t>
  </si>
  <si>
    <t xml:space="preserve">FR-SV-015</t>
  </si>
  <si>
    <t xml:space="preserve">Feedback admin view</t>
  </si>
  <si>
    <t xml:space="preserve">Completion rate progress bars, flagged submissions list, feedback comment browser with sentiment filter</t>
  </si>
  <si>
    <t xml:space="preserve">Admin sees all feedback data; filters work; flagged items highlighted</t>
  </si>
  <si>
    <t xml:space="preserve">FR-SV-016</t>
  </si>
  <si>
    <t xml:space="preserve">Feedback summary (Tutor)</t>
  </si>
  <si>
    <t xml:space="preserve">Personal view of aggregated scores, comment excerpts, and trend over time</t>
  </si>
  <si>
    <t xml:space="preserve">Tutor sees own feedback only; scores aggregated correctly; trend chart renders</t>
  </si>
  <si>
    <t xml:space="preserve">FR-SV-017</t>
  </si>
  <si>
    <t xml:space="preserve">Customisable feedback reports</t>
  </si>
  <si>
    <t xml:space="preserve">Generate customisable reports for supervisors, tutors, institutions for awards or appraisal</t>
  </si>
  <si>
    <t xml:space="preserve">Reports filterable by tutor/institution/period; exportable to PDF/Excel</t>
  </si>
  <si>
    <t xml:space="preserve">FR-SV-018</t>
  </si>
  <si>
    <t xml:space="preserve">Survey template clone/deactivate</t>
  </si>
  <si>
    <t xml:space="preserve">Clone existing templates; deactivate templates no longer in use</t>
  </si>
  <si>
    <t xml:space="preserve">Cloned template is independent copy; deactivated template hidden from dispatch</t>
  </si>
  <si>
    <t xml:space="preserve">FR-RPT-001</t>
  </si>
  <si>
    <t xml:space="preserve">Reporting &amp; Analytics</t>
  </si>
  <si>
    <t xml:space="preserve">Role-specific dashboards</t>
  </si>
  <si>
    <t xml:space="preserve">Different dashboard views for Admin, HOD, Tutor, Student with role-appropriate data</t>
  </si>
  <si>
    <t xml:space="preserve">Each role sees appropriate dashboard; data scoped to role permissions</t>
  </si>
  <si>
    <t xml:space="preserve">FR-RPT-002</t>
  </si>
  <si>
    <t xml:space="preserve">Dashboard drill-down</t>
  </si>
  <si>
    <t xml:space="preserve">Click any aggregate metric to see individual-level detail</t>
  </si>
  <si>
    <t xml:space="preserve">Clicking KPI navigates to filtered detail view; data matches aggregate</t>
  </si>
  <si>
    <t xml:space="preserve">FR-RPT-003</t>
  </si>
  <si>
    <t xml:space="preserve">Faculty Appraisal report</t>
  </si>
  <si>
    <t xml:space="preserve">Pre-built report aggregating teaching hours, feedback scores, student outcomes per tutor</t>
  </si>
  <si>
    <t xml:space="preserve">Report generates correctly; data verified against source records</t>
  </si>
  <si>
    <t xml:space="preserve">FR-RPT-004</t>
  </si>
  <si>
    <t xml:space="preserve">Tutor Billing report</t>
  </si>
  <si>
    <t xml:space="preserve">Pre-built report with approved hours × billable rates per tutor for compensation</t>
  </si>
  <si>
    <t xml:space="preserve">Billing totals match approved hours × rates; exportable to Excel</t>
  </si>
  <si>
    <t xml:space="preserve">FR-RPT-005</t>
  </si>
  <si>
    <t xml:space="preserve">Teaching Award Nominations report</t>
  </si>
  <si>
    <t xml:space="preserve">Report surfacing tutors with high positive feedback for award consideration</t>
  </si>
  <si>
    <t xml:space="preserve">Report filters by positive feedback threshold; includes supporting data</t>
  </si>
  <si>
    <t xml:space="preserve">FR-RPT-006</t>
  </si>
  <si>
    <t xml:space="preserve">Programme Quality Review report</t>
  </si>
  <si>
    <t xml:space="preserve">Report covering feedback trends, completion rates, quality indicators across programmes</t>
  </si>
  <si>
    <t xml:space="preserve">Report spans multiple programmes; comparative data accurate</t>
  </si>
  <si>
    <t xml:space="preserve">FR-RPT-007</t>
  </si>
  <si>
    <t xml:space="preserve">Accreditation report</t>
  </si>
  <si>
    <t xml:space="preserve">Report summarising compliance data, teaching hours, feedback for accreditation review</t>
  </si>
  <si>
    <t xml:space="preserve">Report meets accreditation data requirements; exportable</t>
  </si>
  <si>
    <t xml:space="preserve">FR-RPT-008</t>
  </si>
  <si>
    <t xml:space="preserve">Custom report builder</t>
  </si>
  <si>
    <t xml:space="preserve">Admin selects fields, applies filters, previews results, generates and downloads</t>
  </si>
  <si>
    <t xml:space="preserve">Builder produces correct results; preview matches final export</t>
  </si>
  <si>
    <t xml:space="preserve">FR-RPT-009</t>
  </si>
  <si>
    <t xml:space="preserve">Report export formats</t>
  </si>
  <si>
    <t xml:space="preserve">Export reports in PDF, Excel (.xlsx), and CSV formats</t>
  </si>
  <si>
    <t xml:space="preserve">All three formats produce valid, readable files with correct data</t>
  </si>
  <si>
    <t xml:space="preserve">FR-RPT-010</t>
  </si>
  <si>
    <t xml:space="preserve">Scheduled report delivery</t>
  </si>
  <si>
    <t xml:space="preserve">Auto-generate and email reports on configurable schedule</t>
  </si>
  <si>
    <t xml:space="preserve">Reports generated and emailed on schedule; recipients receive correct reports</t>
  </si>
  <si>
    <t xml:space="preserve">FR-RPT-011</t>
  </si>
  <si>
    <t xml:space="preserve">Comparative analytics</t>
  </si>
  <si>
    <t xml:space="preserve">Semester-on-semester, year-on-year teaching quality trend analysis</t>
  </si>
  <si>
    <t xml:space="preserve">P2</t>
  </si>
  <si>
    <t xml:space="preserve">Trend charts show data across multiple periods; comparison calculations correct</t>
  </si>
  <si>
    <t xml:space="preserve">FR-RPT-012</t>
  </si>
  <si>
    <t xml:space="preserve">Reports Centre</t>
  </si>
  <si>
    <t xml:space="preserve">List of available report templates with generate + download buttons and recent exports</t>
  </si>
  <si>
    <t xml:space="preserve">All report types listed; generation triggers async job; download available</t>
  </si>
  <si>
    <t xml:space="preserve">FR-RPT-013</t>
  </si>
  <si>
    <t xml:space="preserve">Report generation target &lt; 1 minute</t>
  </si>
  <si>
    <t xml:space="preserve">All pre-built reports generate end-to-end in under 60 seconds</t>
  </si>
  <si>
    <t xml:space="preserve">P95 report generation &lt; 60 seconds</t>
  </si>
  <si>
    <t xml:space="preserve">FR-NTF-001</t>
  </si>
  <si>
    <t xml:space="preserve">Notifications &amp; Alerts</t>
  </si>
  <si>
    <t xml:space="preserve">In-app notification centre</t>
  </si>
  <si>
    <t xml:space="preserve">Full notification list with filter, mark all read, click-through to relevant record</t>
  </si>
  <si>
    <t xml:space="preserve">Notifications render correctly; click navigates to source record</t>
  </si>
  <si>
    <t xml:space="preserve">FR-NTF-002</t>
  </si>
  <si>
    <t xml:space="preserve">Email notifications (configurable)</t>
  </si>
  <si>
    <t xml:space="preserve">Email alerts for: pending feedback, approval required, low scores flagged, deadlines</t>
  </si>
  <si>
    <t xml:space="preserve">Emails sent via AWS SES; content accurate; configurable per user preference</t>
  </si>
  <si>
    <t xml:space="preserve">FR-NTF-003</t>
  </si>
  <si>
    <t xml:space="preserve">Push reminders for surveys</t>
  </si>
  <si>
    <t xml:space="preserve">Reminder notifications for students with incomplete survey submissions</t>
  </si>
  <si>
    <t xml:space="preserve">Reminders delivered at configured intervals; cease after submission</t>
  </si>
  <si>
    <t xml:space="preserve">FR-NTF-004</t>
  </si>
  <si>
    <t xml:space="preserve">Escalation alerts</t>
  </si>
  <si>
    <t xml:space="preserve">If feedback overdue past threshold, escalate notification to supervisor</t>
  </si>
  <si>
    <t xml:space="preserve">Escalation triggered after threshold; supervisor receives notification</t>
  </si>
  <si>
    <t xml:space="preserve">FR-NTF-005</t>
  </si>
  <si>
    <t xml:space="preserve">Admin broadcast</t>
  </si>
  <si>
    <t xml:space="preserve">Send announcements to student or tutor groups</t>
  </si>
  <si>
    <t xml:space="preserve">Broadcast reaches all members of selected group</t>
  </si>
  <si>
    <t xml:space="preserve">FR-NTF-006</t>
  </si>
  <si>
    <t xml:space="preserve">Notification badge count</t>
  </si>
  <si>
    <t xml:space="preserve">Header bar shows unread notification count badge</t>
  </si>
  <si>
    <t xml:space="preserve">Badge count matches unread notifications; updates in real-time</t>
  </si>
  <si>
    <t xml:space="preserve">FR-RBAC-001</t>
  </si>
  <si>
    <t xml:space="preserve">Role-Based Access Control</t>
  </si>
  <si>
    <t xml:space="preserve">Five core roles</t>
  </si>
  <si>
    <t xml:space="preserve">System supports: Super Admin, Programme Admin, Supervisor, Tutor/Clinician, Student</t>
  </si>
  <si>
    <t xml:space="preserve">All five roles creatable; each has distinct default permissions</t>
  </si>
  <si>
    <t xml:space="preserve">FR-RBAC-002</t>
  </si>
  <si>
    <t xml:space="preserve">Customisable permission sets</t>
  </si>
  <si>
    <t xml:space="preserve">Super admin can modify default permissions per role</t>
  </si>
  <si>
    <t xml:space="preserve">Permissions editable via RBAC Configuration screen; changes effective immediately</t>
  </si>
  <si>
    <t xml:space="preserve">FR-RBAC-003</t>
  </si>
  <si>
    <t xml:space="preserve">Approval hierarchy configuration</t>
  </si>
  <si>
    <t xml:space="preserve">Define who approves what within each workflow</t>
  </si>
  <si>
    <t xml:space="preserve">Approval chains configurable; workflow respects configured hierarchy</t>
  </si>
  <si>
    <t xml:space="preserve">FR-RBAC-004</t>
  </si>
  <si>
    <t xml:space="preserve">Discipline-scoped access</t>
  </si>
  <si>
    <t xml:space="preserve">Programme admins see only their assigned discipline by default</t>
  </si>
  <si>
    <t xml:space="preserve">Data filtered by discipline; admin cannot access other discipline data</t>
  </si>
  <si>
    <t xml:space="preserve">FR-RBAC-005</t>
  </si>
  <si>
    <t xml:space="preserve">Cross-discipline view</t>
  </si>
  <si>
    <t xml:space="preserve">Department heads and above see data across all disciplines</t>
  </si>
  <si>
    <t xml:space="preserve">HOD and Super Admin see all disciplines</t>
  </si>
  <si>
    <t xml:space="preserve">FR-RBAC-006</t>
  </si>
  <si>
    <t xml:space="preserve">Time-limited guest access</t>
  </si>
  <si>
    <t xml:space="preserve">Temporary access for visiting educators or external accreditors with expiry</t>
  </si>
  <si>
    <t xml:space="preserve">Guest account created with expiry; access revoked automatically after expiry</t>
  </si>
  <si>
    <t xml:space="preserve">FR-RBAC-007</t>
  </si>
  <si>
    <t xml:space="preserve">Role-based navigation</t>
  </si>
  <si>
    <t xml:space="preserve">Sidebar menu items shown/hidden based on authenticated user role</t>
  </si>
  <si>
    <t xml:space="preserve">Each role sees only permitted menu items; direct URL access blocked</t>
  </si>
  <si>
    <t xml:space="preserve">FR-RBAC-008</t>
  </si>
  <si>
    <t xml:space="preserve">RBAC permission matrix editor</t>
  </si>
  <si>
    <t xml:space="preserve">Visual editor for super admin to view and modify role-permission matrix</t>
  </si>
  <si>
    <t xml:space="preserve">Matrix displays all roles × permissions; toggles work; changes persist</t>
  </si>
  <si>
    <t xml:space="preserve">FR-AUD-001</t>
  </si>
  <si>
    <t xml:space="preserve">Audit Trail</t>
  </si>
  <si>
    <t xml:space="preserve">Immutable audit log</t>
  </si>
  <si>
    <t xml:space="preserve">Log all create, update, delete, approve actions with actor, action type, timestamp, affected record, before/after</t>
  </si>
  <si>
    <t xml:space="preserve">Every data mutation creates audit entry; entries cannot be modified/deleted</t>
  </si>
  <si>
    <t xml:space="preserve">FR-AUD-002</t>
  </si>
  <si>
    <t xml:space="preserve">Filterable audit log viewer</t>
  </si>
  <si>
    <t xml:space="preserve">Admin can search and filter audit log by actor, action type, resource type, date range</t>
  </si>
  <si>
    <t xml:space="preserve">Filters reduce results correctly; search returns matching entries</t>
  </si>
  <si>
    <t xml:space="preserve">FR-AUD-003</t>
  </si>
  <si>
    <t xml:space="preserve">Exportable audit log</t>
  </si>
  <si>
    <t xml:space="preserve">Export audit log for compliance, PDPA audit, or accreditation review</t>
  </si>
  <si>
    <t xml:space="preserve">Export produces complete, accurate audit data in CSV/Excel</t>
  </si>
  <si>
    <t xml:space="preserve">FR-AUD-004</t>
  </si>
  <si>
    <t xml:space="preserve">Configurable retention policy</t>
  </si>
  <si>
    <t xml:space="preserve">Audit log retention configurable; default 7 years per PDPA requirements</t>
  </si>
  <si>
    <t xml:space="preserve">Retention policy enforced; data older than policy auto-archived or purged</t>
  </si>
  <si>
    <t xml:space="preserve">FR-AUD-005</t>
  </si>
  <si>
    <t xml:space="preserve">IP address capture</t>
  </si>
  <si>
    <t xml:space="preserve">Capture client IP address for each audit log entry</t>
  </si>
  <si>
    <t xml:space="preserve">IP address stored with each entry; available in exported logs</t>
  </si>
  <si>
    <t xml:space="preserve">FR-IMP-001</t>
  </si>
  <si>
    <t xml:space="preserve">Batch Import / Data Mgmt</t>
  </si>
  <si>
    <t xml:space="preserve">Excel and CSV import</t>
  </si>
  <si>
    <t xml:space="preserve">Upload Excel and CSV files for student and tutor batch creation</t>
  </si>
  <si>
    <t xml:space="preserve">Both file formats accepted; data parsed correctly</t>
  </si>
  <si>
    <t xml:space="preserve">FR-IMP-002</t>
  </si>
  <si>
    <t xml:space="preserve">Field mapping interface</t>
  </si>
  <si>
    <t xml:space="preserve">Map import file columns to ClinEdOps system fields via drag-drop or dropdown</t>
  </si>
  <si>
    <t xml:space="preserve">All system fields available for mapping; unmapped columns skipped</t>
  </si>
  <si>
    <t xml:space="preserve">FR-IMP-003</t>
  </si>
  <si>
    <t xml:space="preserve">Pre-import validation</t>
  </si>
  <si>
    <t xml:space="preserve">Check duplicates, missing required fields, format errors before committing</t>
  </si>
  <si>
    <t xml:space="preserve">Validation report shows all errors; user can review before proceeding</t>
  </si>
  <si>
    <t xml:space="preserve">FR-IMP-004</t>
  </si>
  <si>
    <t xml:space="preserve">Import preview with error highlighting</t>
  </si>
  <si>
    <t xml:space="preserve">Preview table with row-level error highlighting (red = errors, yellow = warnings)</t>
  </si>
  <si>
    <t xml:space="preserve">Errors visually highlighted; user can correct or skip problematic rows</t>
  </si>
  <si>
    <t xml:space="preserve">FR-IMP-005</t>
  </si>
  <si>
    <t xml:space="preserve">Import history log</t>
  </si>
  <si>
    <t xml:space="preserve">Track who imported what, when, file name, record count, error count</t>
  </si>
  <si>
    <t xml:space="preserve">History shows all past imports with metadata</t>
  </si>
  <si>
    <t xml:space="preserve">FR-IMP-006</t>
  </si>
  <si>
    <t xml:space="preserve">FormSG webhook ingestion</t>
  </si>
  <si>
    <t xml:space="preserve">Accept FormSG form submission data via webhook for real-time data ingestion</t>
  </si>
  <si>
    <t xml:space="preserve">Webhook endpoint receives and processes FormSG payloads</t>
  </si>
  <si>
    <t xml:space="preserve">FR-IMP-007</t>
  </si>
  <si>
    <t xml:space="preserve">Duplicate detection on import</t>
  </si>
  <si>
    <t xml:space="preserve">Detect and flag duplicate records based on student/staff code during import</t>
  </si>
  <si>
    <t xml:space="preserve">Duplicates flagged in preview; user can choose to skip or update</t>
  </si>
  <si>
    <t xml:space="preserve">FR-AUTH-001</t>
  </si>
  <si>
    <t xml:space="preserve">Authentication &amp; Security</t>
  </si>
  <si>
    <t xml:space="preserve">Email + password login</t>
  </si>
  <si>
    <t xml:space="preserve">Login with email and password; returns access + refresh tokens</t>
  </si>
  <si>
    <t xml:space="preserve">Valid credentials return tokens; invalid show error message</t>
  </si>
  <si>
    <t xml:space="preserve">FR-AUTH-002</t>
  </si>
  <si>
    <t xml:space="preserve">JWT RS256 authentication</t>
  </si>
  <si>
    <t xml:space="preserve">Asymmetric JWT signing with RS256; private key in AWS Secrets Manager</t>
  </si>
  <si>
    <t xml:space="preserve">Tokens verified with public key; tampered tokens rejected</t>
  </si>
  <si>
    <t xml:space="preserve">FR-AUTH-003</t>
  </si>
  <si>
    <t xml:space="preserve">Access token (15-min TTL)</t>
  </si>
  <si>
    <t xml:space="preserve">Short-lived access tokens stored in memory (not localStorage)</t>
  </si>
  <si>
    <t xml:space="preserve">Token expires after 15 minutes; refresh flow triggered automatically</t>
  </si>
  <si>
    <t xml:space="preserve">FR-AUTH-004</t>
  </si>
  <si>
    <t xml:space="preserve">Refresh token (7-day TTL)</t>
  </si>
  <si>
    <t xml:space="preserve">HTTP-only secure cookie; server-side rotation on use</t>
  </si>
  <si>
    <t xml:space="preserve">Refresh produces new access token; old refresh token invalidated</t>
  </si>
  <si>
    <t xml:space="preserve">FR-AUTH-005</t>
  </si>
  <si>
    <t xml:space="preserve">Forgot password flow</t>
  </si>
  <si>
    <t xml:space="preserve">Send password reset email with time-limited token</t>
  </si>
  <si>
    <t xml:space="preserve">Email sent within 30 seconds; reset link expires after configured time</t>
  </si>
  <si>
    <t xml:space="preserve">FR-AUTH-006</t>
  </si>
  <si>
    <t xml:space="preserve">First login onboarding</t>
  </si>
  <si>
    <t xml:space="preserve">Forced password change + profile completion on first login</t>
  </si>
  <si>
    <t xml:space="preserve">New users must change password and complete profile before access</t>
  </si>
  <si>
    <t xml:space="preserve">FR-AUTH-007</t>
  </si>
  <si>
    <t xml:space="preserve">User management (Super Admin)</t>
  </si>
  <si>
    <t xml:space="preserve">List all users; create/edit/deactivate accounts; assign roles</t>
  </si>
  <si>
    <t xml:space="preserve">CRUD operations work; role changes effective immediately</t>
  </si>
  <si>
    <t xml:space="preserve">FR-AUTH-008</t>
  </si>
  <si>
    <t xml:space="preserve">Session logout</t>
  </si>
  <si>
    <t xml:space="preserve">Invalidate refresh token on logout</t>
  </si>
  <si>
    <t xml:space="preserve">Logout clears tokens; subsequent API calls rejected</t>
  </si>
  <si>
    <t xml:space="preserve">FR-AUTH-009</t>
  </si>
  <si>
    <t xml:space="preserve">Access logs</t>
  </si>
  <si>
    <t xml:space="preserve">Log all login attempts (success/failure) with timestamps</t>
  </si>
  <si>
    <t xml:space="preserve">Login events recorded; viewable in audit log</t>
  </si>
  <si>
    <t xml:space="preserve">FR-ACY-001</t>
  </si>
  <si>
    <t xml:space="preserve">Academic Cycle &amp; Department</t>
  </si>
  <si>
    <t xml:space="preserve">Academic cycle management</t>
  </si>
  <si>
    <t xml:space="preserve">Create/manage academic cycles with start date, end date, active status</t>
  </si>
  <si>
    <t xml:space="preserve">Cycles created with date ranges; only one cycle active per discipline</t>
  </si>
  <si>
    <t xml:space="preserve">FR-ACY-002</t>
  </si>
  <si>
    <t xml:space="preserve">Activate/close cycles</t>
  </si>
  <si>
    <t xml:space="preserve">Admin can activate and close cycles; closing triggers end-of-cycle workflows</t>
  </si>
  <si>
    <t xml:space="preserve">Activation/closure enforced; downstream data respects cycle boundaries</t>
  </si>
  <si>
    <t xml:space="preserve">FR-ACY-003</t>
  </si>
  <si>
    <t xml:space="preserve">Department management</t>
  </si>
  <si>
    <t xml:space="preserve">Add/edit departments with: name, division, discipline, head</t>
  </si>
  <si>
    <t xml:space="preserve">Departments created; head assigned; department available in posting creation</t>
  </si>
  <si>
    <t xml:space="preserve">FR-ACY-004</t>
  </si>
  <si>
    <t xml:space="preserve">Assign department heads</t>
  </si>
  <si>
    <t xml:space="preserve">Link department heads to departments for cross-discipline oversight</t>
  </si>
  <si>
    <t xml:space="preserve">Department head sees their department data in dashboard</t>
  </si>
  <si>
    <t xml:space="preserve">FR-INT-001</t>
  </si>
  <si>
    <t xml:space="preserve">System Integrations</t>
  </si>
  <si>
    <t xml:space="preserve">NUHS Jobplan Portal integration</t>
  </si>
  <si>
    <t xml:space="preserve">Sync tutor schedules and job plan hours via REST API / DB sync</t>
  </si>
  <si>
    <t xml:space="preserve">Tutor schedule data flows into ClinEdOps; data matches source</t>
  </si>
  <si>
    <t xml:space="preserve">FR-INT-002</t>
  </si>
  <si>
    <t xml:space="preserve">NUS BLUE System integration</t>
  </si>
  <si>
    <t xml:space="preserve">Import student records, academic calendar, posting schedules via REST API</t>
  </si>
  <si>
    <t xml:space="preserve">Student data imported; calendar events synced; no duplicates</t>
  </si>
  <si>
    <t xml:space="preserve">FR-INT-003</t>
  </si>
  <si>
    <t xml:space="preserve">Teaching Activities System (TAS) integration</t>
  </si>
  <si>
    <t xml:space="preserve">Bi-directional sync of teaching activity data via REST API / CSV</t>
  </si>
  <si>
    <t xml:space="preserve">Data flows both directions; conflict resolution handled</t>
  </si>
  <si>
    <t xml:space="preserve">FR-INT-004</t>
  </si>
  <si>
    <t xml:space="preserve">FormSG data ingestion</t>
  </si>
  <si>
    <t xml:space="preserve">Import student/tutor data from FormSG via webhook or CSV export</t>
  </si>
  <si>
    <t xml:space="preserve">FormSG submissions appear in ClinEdOps; data mapped correctly</t>
  </si>
  <si>
    <t xml:space="preserve">FR-INT-005</t>
  </si>
  <si>
    <t xml:space="preserve">AWS SES email integration</t>
  </si>
  <si>
    <t xml:space="preserve">Transactional email delivery for notifications, reminders, report distribution</t>
  </si>
  <si>
    <t xml:space="preserve">Emails delivered via SES; SPF/DKIM/DMARC authenticated</t>
  </si>
  <si>
    <t xml:space="preserve">FR-INT-006</t>
  </si>
  <si>
    <t xml:space="preserve">AWS S3 file storage</t>
  </si>
  <si>
    <t xml:space="preserve">Store exports, attachments, audit logs in S3 with server-side encryption</t>
  </si>
  <si>
    <t xml:space="preserve">Files stored in ap-southeast-1; SSE-S3 encryption; pre-signed URLs</t>
  </si>
  <si>
    <t xml:space="preserve">FR-INT-007</t>
  </si>
  <si>
    <t xml:space="preserve">Integration status dashboard</t>
  </si>
  <si>
    <t xml:space="preserve">Admin view showing connection status, sync logs, manual re-sync trigger</t>
  </si>
  <si>
    <t xml:space="preserve">Status indicators; logs show last sync time and result</t>
  </si>
  <si>
    <t xml:space="preserve">FR-UI-001</t>
  </si>
  <si>
    <t xml:space="preserve">UI / UX</t>
  </si>
  <si>
    <t xml:space="preserve">Persistent left sidebar navigation</t>
  </si>
  <si>
    <t xml:space="preserve">Collapsible sidebar with role-specific menu items</t>
  </si>
  <si>
    <t xml:space="preserve">Sidebar renders with correct items per role; collapses/expands</t>
  </si>
  <si>
    <t xml:space="preserve">FR-UI-002</t>
  </si>
  <si>
    <t xml:space="preserve">Top header bar</t>
  </si>
  <si>
    <t xml:space="preserve">Breadcrumbs, notification bell with badge count, user avatar + dropdown menu</t>
  </si>
  <si>
    <t xml:space="preserve">All elements render; bell shows count; dropdown has profile/logout</t>
  </si>
  <si>
    <t xml:space="preserve">FR-UI-003</t>
  </si>
  <si>
    <t xml:space="preserve">Mobile-responsive layout</t>
  </si>
  <si>
    <t xml:space="preserve">Sidebar collapses to bottom tab bar on mobile; full functionality ≥ 375px</t>
  </si>
  <si>
    <t xml:space="preserve">All features accessible on iPhone SE viewport; no horizontal scroll</t>
  </si>
  <si>
    <t xml:space="preserve">FR-UI-004</t>
  </si>
  <si>
    <t xml:space="preserve">NUH branding on login</t>
  </si>
  <si>
    <t xml:space="preserve">Login page with NUH branding, email/password fields, forgot password link</t>
  </si>
  <si>
    <t xml:space="preserve">Login page renders with branding; all elements functional</t>
  </si>
  <si>
    <t xml:space="preserve">FR-UI-005</t>
  </si>
  <si>
    <t xml:space="preserve">System settings page</t>
  </si>
  <si>
    <t xml:space="preserve">Email configuration, notification defaults, PDPA data retention policy settings</t>
  </si>
  <si>
    <t xml:space="preserve">Settings editable; changes take effect system-wide</t>
  </si>
  <si>
    <t xml:space="preserve">NFR-PERF-001</t>
  </si>
  <si>
    <t xml:space="preserve">Performance</t>
  </si>
  <si>
    <t xml:space="preserve">Non-Functional</t>
  </si>
  <si>
    <t xml:space="preserve">API response time</t>
  </si>
  <si>
    <t xml:space="preserve">P95 &lt; 500ms for standard queries; &lt; 2s for report generation triggers</t>
  </si>
  <si>
    <t xml:space="preserve">Load test confirms P95 within threshold</t>
  </si>
  <si>
    <t xml:space="preserve">NFR-PERF-002</t>
  </si>
  <si>
    <t xml:space="preserve">Report generation time</t>
  </si>
  <si>
    <t xml:space="preserve">&lt; 60 seconds end-to-end for all pre-built report types</t>
  </si>
  <si>
    <t xml:space="preserve">Stopwatch timing confirms &lt; 60s for each report type</t>
  </si>
  <si>
    <t xml:space="preserve">NFR-PERF-003</t>
  </si>
  <si>
    <t xml:space="preserve">Concurrent user support</t>
  </si>
  <si>
    <t xml:space="preserve">Support 500+ concurrent users without degradation</t>
  </si>
  <si>
    <t xml:space="preserve">Load test with 500 simulated users; no errors</t>
  </si>
  <si>
    <t xml:space="preserve">NFR-PERF-004</t>
  </si>
  <si>
    <t xml:space="preserve">Database query optimisation</t>
  </si>
  <si>
    <t xml:space="preserve">Proper indexing; cursor-based pagination for large datasets</t>
  </si>
  <si>
    <t xml:space="preserve">EXPLAIN ANALYZE confirms index usage; pagination consistent</t>
  </si>
  <si>
    <t xml:space="preserve">NFR-PERF-005</t>
  </si>
  <si>
    <t xml:space="preserve">Frontend bundle optimisation</t>
  </si>
  <si>
    <t xml:space="preserve">Code splitting, lazy loading; initial load &lt; 3s on 4G</t>
  </si>
  <si>
    <t xml:space="preserve">PROP</t>
  </si>
  <si>
    <t xml:space="preserve">Lighthouse score ≥ 80; LCP &lt; 3s on throttled connection</t>
  </si>
  <si>
    <t xml:space="preserve">NFR-REL-001</t>
  </si>
  <si>
    <t xml:space="preserve">Reliability &amp; Availability</t>
  </si>
  <si>
    <t xml:space="preserve">Uptime SLA</t>
  </si>
  <si>
    <t xml:space="preserve">99.5% uptime during business hours (0800–2200 SGT)</t>
  </si>
  <si>
    <t xml:space="preserve">Uptime monitoring confirms ≥ 99.5% over 30-day period</t>
  </si>
  <si>
    <t xml:space="preserve">NFR-REL-002</t>
  </si>
  <si>
    <t xml:space="preserve">Database backups</t>
  </si>
  <si>
    <t xml:space="preserve">Daily automated PostgreSQL backups; 30-day retention; PITR</t>
  </si>
  <si>
    <t xml:space="preserve">Backup schedule verified; restoration tested successfully</t>
  </si>
  <si>
    <t xml:space="preserve">NFR-REL-003</t>
  </si>
  <si>
    <t xml:space="preserve">Multi-AZ database deployment</t>
  </si>
  <si>
    <t xml:space="preserve">RDS PostgreSQL in Multi-AZ for failover</t>
  </si>
  <si>
    <t xml:space="preserve">Failover tested; application recovers within RDS failover SLA</t>
  </si>
  <si>
    <t xml:space="preserve">NFR-REL-004</t>
  </si>
  <si>
    <t xml:space="preserve">Data integrity (transactions)</t>
  </si>
  <si>
    <t xml:space="preserve">All multi-step writes wrapped in database transactions</t>
  </si>
  <si>
    <t xml:space="preserve">Transaction rollback on failure; no partial writes</t>
  </si>
  <si>
    <t xml:space="preserve">NFR-REL-005</t>
  </si>
  <si>
    <t xml:space="preserve">Error handling and recovery</t>
  </si>
  <si>
    <t xml:space="preserve">Graceful error handling; no unhandled exceptions in production</t>
  </si>
  <si>
    <t xml:space="preserve">Sentry captures all errors; user sees friendly error messages</t>
  </si>
  <si>
    <t xml:space="preserve">NFR-SCL-001</t>
  </si>
  <si>
    <t xml:space="preserve">Scalability</t>
  </si>
  <si>
    <t xml:space="preserve">Horizontal auto-scaling</t>
  </si>
  <si>
    <t xml:space="preserve">ECS Fargate auto-scaling: out at 70% CPU, in at 30%</t>
  </si>
  <si>
    <t xml:space="preserve">Auto-scaling triggers tested; new containers within 2 minutes</t>
  </si>
  <si>
    <t xml:space="preserve">NFR-SCL-002</t>
  </si>
  <si>
    <t xml:space="preserve">Database read replicas</t>
  </si>
  <si>
    <t xml:space="preserve">RDS read replica for reporting queries</t>
  </si>
  <si>
    <t xml:space="preserve">Reporting queries routed to read replica</t>
  </si>
  <si>
    <t xml:space="preserve">NFR-SCL-003</t>
  </si>
  <si>
    <t xml:space="preserve">Redis caching</t>
  </si>
  <si>
    <t xml:space="preserve">Cache dashboard aggregations and user sessions in Redis</t>
  </si>
  <si>
    <t xml:space="preserve">Cache hit rate &gt; 80%; invalidation on data changes</t>
  </si>
  <si>
    <t xml:space="preserve">NFR-SCL-004</t>
  </si>
  <si>
    <t xml:space="preserve">Multi-tenant-ready architecture</t>
  </si>
  <si>
    <t xml:space="preserve">Schema and RBAC designed to support multiple institutions post-POC</t>
  </si>
  <si>
    <t xml:space="preserve">CB, PROP</t>
  </si>
  <si>
    <t xml:space="preserve">Schema supports institution-level partitioning without migration</t>
  </si>
  <si>
    <t xml:space="preserve">NFR-SCL-005</t>
  </si>
  <si>
    <t xml:space="preserve">Stateless API design</t>
  </si>
  <si>
    <t xml:space="preserve">No server-side session state; any container can serve any request</t>
  </si>
  <si>
    <t xml:space="preserve">Round-robin routing; no session affinity required</t>
  </si>
  <si>
    <t xml:space="preserve">NFR-SEC-001</t>
  </si>
  <si>
    <t xml:space="preserve">Security</t>
  </si>
  <si>
    <t xml:space="preserve">HTTPS enforcement</t>
  </si>
  <si>
    <t xml:space="preserve">TLS 1.2+ enforced on all endpoints; no HTTP access</t>
  </si>
  <si>
    <t xml:space="preserve">All connections over HTTPS; HTTP redirects to HTTPS</t>
  </si>
  <si>
    <t xml:space="preserve">NFR-SEC-002</t>
  </si>
  <si>
    <t xml:space="preserve">Password hashing</t>
  </si>
  <si>
    <t xml:space="preserve">bcrypt with cost factor 12 for all password storage</t>
  </si>
  <si>
    <t xml:space="preserve">Passwords verified as bcrypt hashed; plaintext never stored</t>
  </si>
  <si>
    <t xml:space="preserve">NFR-SEC-003</t>
  </si>
  <si>
    <t xml:space="preserve">SQL injection prevention</t>
  </si>
  <si>
    <t xml:space="preserve">All inputs validated with Pydantic; queries via SQLAlchemy ORM</t>
  </si>
  <si>
    <t xml:space="preserve">Penetration test confirms no SQL injection vulnerabilities</t>
  </si>
  <si>
    <t xml:space="preserve">NFR-SEC-004</t>
  </si>
  <si>
    <t xml:space="preserve">XSS protection</t>
  </si>
  <si>
    <t xml:space="preserve">Input sanitisation; Content-Security-Policy headers</t>
  </si>
  <si>
    <t xml:space="preserve">Penetration test confirms no XSS vulnerabilities</t>
  </si>
  <si>
    <t xml:space="preserve">NFR-SEC-005</t>
  </si>
  <si>
    <t xml:space="preserve">AWS WAF</t>
  </si>
  <si>
    <t xml:space="preserve">WAF rules on ALB for rate limiting, SQL injection, XSS protection</t>
  </si>
  <si>
    <t xml:space="preserve">WAF rules active; malicious requests blocked</t>
  </si>
  <si>
    <t xml:space="preserve">NFR-SEC-006</t>
  </si>
  <si>
    <t xml:space="preserve">Rate limiting</t>
  </si>
  <si>
    <t xml:space="preserve">1000 req/min per authenticated user; 100 req/min for public</t>
  </si>
  <si>
    <t xml:space="preserve">Rate limits enforced; 429 on breach</t>
  </si>
  <si>
    <t xml:space="preserve">NFR-SEC-007</t>
  </si>
  <si>
    <t xml:space="preserve">Secrets management</t>
  </si>
  <si>
    <t xml:space="preserve">All secrets in AWS Secrets Manager; never in env vars or code</t>
  </si>
  <si>
    <t xml:space="preserve">No secrets in codebase; Secrets Manager access verified</t>
  </si>
  <si>
    <t xml:space="preserve">NFR-SEC-008</t>
  </si>
  <si>
    <t xml:space="preserve">S3 bucket security</t>
  </si>
  <si>
    <t xml:space="preserve">Private bucket; SSE-S3 encryption; no public access; pre-signed URLs</t>
  </si>
  <si>
    <t xml:space="preserve">Bucket policy blocks public access; pre-signed URLs expire</t>
  </si>
  <si>
    <t xml:space="preserve">NFR-SEC-009</t>
  </si>
  <si>
    <t xml:space="preserve">Database encryption in transit</t>
  </si>
  <si>
    <t xml:space="preserve">All DB connections via SSL/TLS; RDS in private subnet</t>
  </si>
  <si>
    <t xml:space="preserve">Connection string uses SSL; RDS has no public endpoint</t>
  </si>
  <si>
    <t xml:space="preserve">NFR-SEC-010</t>
  </si>
  <si>
    <t xml:space="preserve">Input validation</t>
  </si>
  <si>
    <t xml:space="preserve">All API inputs validated server-side with Pydantic schemas</t>
  </si>
  <si>
    <t xml:space="preserve">Invalid requests return 422 with validation error details</t>
  </si>
  <si>
    <t xml:space="preserve">NFR-SEC-011</t>
  </si>
  <si>
    <t xml:space="preserve">Penetration testing</t>
  </si>
  <si>
    <t xml:space="preserve">Third-party penetration test before production launch</t>
  </si>
  <si>
    <t xml:space="preserve">Pentest completed; critical/high findings remediated</t>
  </si>
  <si>
    <t xml:space="preserve">NFR-SEC-012</t>
  </si>
  <si>
    <t xml:space="preserve">Vulnerability scanning</t>
  </si>
  <si>
    <t xml:space="preserve">Automated dependency and container image vulnerability scanning in CI/CD</t>
  </si>
  <si>
    <t xml:space="preserve">Scanning on every PR; critical vulnerabilities block deployment</t>
  </si>
  <si>
    <t xml:space="preserve">NFR-PDPA-001</t>
  </si>
  <si>
    <t xml:space="preserve">PDPA Compliance</t>
  </si>
  <si>
    <t xml:space="preserve">Data residency — Singapore</t>
  </si>
  <si>
    <t xml:space="preserve">All data stored exclusively in AWS ap-southeast-1</t>
  </si>
  <si>
    <t xml:space="preserve">All AWS resources in ap-southeast-1; no cross-region transfer</t>
  </si>
  <si>
    <t xml:space="preserve">NFR-PDPA-002</t>
  </si>
  <si>
    <t xml:space="preserve">Access log retention</t>
  </si>
  <si>
    <t xml:space="preserve">Access logs retained for 7 years (configurable)</t>
  </si>
  <si>
    <t xml:space="preserve">Logs retained per policy; auto-archival working</t>
  </si>
  <si>
    <t xml:space="preserve">NFR-PDPA-003</t>
  </si>
  <si>
    <t xml:space="preserve">Data export on request</t>
  </si>
  <si>
    <t xml:space="preserve">Student/tutor data export available on request via admin</t>
  </si>
  <si>
    <t xml:space="preserve">Admin can export individual's data in machine-readable format</t>
  </si>
  <si>
    <t xml:space="preserve">NFR-PDPA-004</t>
  </si>
  <si>
    <t xml:space="preserve">Data deletion workflow</t>
  </si>
  <si>
    <t xml:space="preserve">Soft delete for departed staff/students; configurable hard delete schedule</t>
  </si>
  <si>
    <t xml:space="preserve">Soft delete removes from active views; hard delete runs on schedule</t>
  </si>
  <si>
    <t xml:space="preserve">NFR-PDPA-005</t>
  </si>
  <si>
    <t xml:space="preserve">Privacy notice at first login</t>
  </si>
  <si>
    <t xml:space="preserve">Privacy notice presented and acknowledged at first login</t>
  </si>
  <si>
    <t xml:space="preserve">Notice displayed; acknowledgement logged</t>
  </si>
  <si>
    <t xml:space="preserve">NFR-PDPA-006</t>
  </si>
  <si>
    <t xml:space="preserve">NUH as primary data owner</t>
  </si>
  <si>
    <t xml:space="preserve">NUH retains ownership of all data; access controls enforce governance</t>
  </si>
  <si>
    <t xml:space="preserve">Platform confirms NUH as data owner</t>
  </si>
  <si>
    <t xml:space="preserve">NFR-INF-001</t>
  </si>
  <si>
    <t xml:space="preserve">Infrastructure</t>
  </si>
  <si>
    <t xml:space="preserve">Docker containerisation</t>
  </si>
  <si>
    <t xml:space="preserve">All services containerised; Docker Compose for dev; multi-stage builds</t>
  </si>
  <si>
    <t xml:space="preserve">docker-compose up starts all services; images &lt; 500MB</t>
  </si>
  <si>
    <t xml:space="preserve">NFR-INF-002</t>
  </si>
  <si>
    <t xml:space="preserve">AWS ECS Fargate deployment</t>
  </si>
  <si>
    <t xml:space="preserve">Production containers via ECS Fargate (serverless)</t>
  </si>
  <si>
    <t xml:space="preserve">Services running on Fargate; health checks passing</t>
  </si>
  <si>
    <t xml:space="preserve">NFR-INF-003</t>
  </si>
  <si>
    <t xml:space="preserve">CloudFront CDN</t>
  </si>
  <si>
    <t xml:space="preserve">React SPA served via CloudFront for low-latency delivery</t>
  </si>
  <si>
    <t xml:space="preserve">Cache hit ratio &gt; 90%</t>
  </si>
  <si>
    <t xml:space="preserve">NFR-INF-004</t>
  </si>
  <si>
    <t xml:space="preserve">Route 53 DNS</t>
  </si>
  <si>
    <t xml:space="preserve">Custom domain configured via Route 53</t>
  </si>
  <si>
    <t xml:space="preserve">Domain resolves to CloudFront; SSL certificate valid</t>
  </si>
  <si>
    <t xml:space="preserve">NFR-INF-005</t>
  </si>
  <si>
    <t xml:space="preserve">Infrastructure-as-Code</t>
  </si>
  <si>
    <t xml:space="preserve">AWS CDK or Terraform for reproducible provisioning</t>
  </si>
  <si>
    <t xml:space="preserve">IaC scripts provision full stack; reproducible</t>
  </si>
  <si>
    <t xml:space="preserve">NFR-INF-006</t>
  </si>
  <si>
    <t xml:space="preserve">CI/CD pipeline</t>
  </si>
  <si>
    <t xml:space="preserve">GitHub Actions for automated test, lint, build, deploy</t>
  </si>
  <si>
    <t xml:space="preserve">Pipeline runs on PR; all checks pass before merge</t>
  </si>
  <si>
    <t xml:space="preserve">NFR-INF-007</t>
  </si>
  <si>
    <t xml:space="preserve">Environment separation</t>
  </si>
  <si>
    <t xml:space="preserve">Separate staging and production environments</t>
  </si>
  <si>
    <t xml:space="preserve">Staging mirrors production; deployments tested in staging first</t>
  </si>
  <si>
    <t xml:space="preserve">NFR-OBS-001</t>
  </si>
  <si>
    <t xml:space="preserve">Observability</t>
  </si>
  <si>
    <t xml:space="preserve">Application logging</t>
  </si>
  <si>
    <t xml:space="preserve">Structured JSON logging; log levels (DEBUG, INFO, WARN, ERROR)</t>
  </si>
  <si>
    <t xml:space="preserve">Logs queryable in CloudWatch; structured format</t>
  </si>
  <si>
    <t xml:space="preserve">NFR-OBS-002</t>
  </si>
  <si>
    <t xml:space="preserve">CloudWatch dashboards</t>
  </si>
  <si>
    <t xml:space="preserve">Infrastructure metrics: CPU, memory, request count, error rate, latency</t>
  </si>
  <si>
    <t xml:space="preserve">Dashboard shows real-time metrics; alarms configured</t>
  </si>
  <si>
    <t xml:space="preserve">NFR-OBS-003</t>
  </si>
  <si>
    <t xml:space="preserve">Sentry error tracking</t>
  </si>
  <si>
    <t xml:space="preserve">Frontend and backend error tracking with Sentry SDK</t>
  </si>
  <si>
    <t xml:space="preserve">Errors captured with stack traces; alerts on regression</t>
  </si>
  <si>
    <t xml:space="preserve">NFR-OBS-004</t>
  </si>
  <si>
    <t xml:space="preserve">Uptime monitoring</t>
  </si>
  <si>
    <t xml:space="preserve">External uptime checks with alerting on downtime</t>
  </si>
  <si>
    <t xml:space="preserve">Monitor checks every 1 minute; alert within 5 minutes</t>
  </si>
  <si>
    <t xml:space="preserve">NFR-OBS-005</t>
  </si>
  <si>
    <t xml:space="preserve">Operational runbooks / SOPs</t>
  </si>
  <si>
    <t xml:space="preserve">Procedures for: incident response, deployment, backup, onboarding, admin</t>
  </si>
  <si>
    <t xml:space="preserve">Runbooks cover all critical operations</t>
  </si>
  <si>
    <t xml:space="preserve">NFR-ACC-001</t>
  </si>
  <si>
    <t xml:space="preserve">Accessibility</t>
  </si>
  <si>
    <t xml:space="preserve">WCAG 2.1 Level AA</t>
  </si>
  <si>
    <t xml:space="preserve">Key user-facing screens comply with WCAG 2.1 AA</t>
  </si>
  <si>
    <t xml:space="preserve">Automated accessibility audit passes on key screens</t>
  </si>
  <si>
    <t xml:space="preserve">NFR-ACC-002</t>
  </si>
  <si>
    <t xml:space="preserve">Browser support</t>
  </si>
  <si>
    <t xml:space="preserve">Chrome 110+, Firefox 110+, Safari 16+, Edge 110+</t>
  </si>
  <si>
    <t xml:space="preserve">Core features functional on all supported browsers</t>
  </si>
  <si>
    <t xml:space="preserve">NFR-ACC-003</t>
  </si>
  <si>
    <t xml:space="preserve">Mobile responsive</t>
  </si>
  <si>
    <t xml:space="preserve">Full functionality on viewport width ≥ 375px</t>
  </si>
  <si>
    <t xml:space="preserve">All features accessible; touch targets ≥ 44px</t>
  </si>
  <si>
    <t xml:space="preserve">NFR-ACC-004</t>
  </si>
  <si>
    <t xml:space="preserve">Internationalisation-ready</t>
  </si>
  <si>
    <t xml:space="preserve">English only for MVP; architecture supports i18n for future</t>
  </si>
  <si>
    <t xml:space="preserve">All strings externalized; i18n framework integrated</t>
  </si>
  <si>
    <t xml:space="preserve">NFR-TST-001</t>
  </si>
  <si>
    <t xml:space="preserve">Testing &amp; Quality</t>
  </si>
  <si>
    <t xml:space="preserve">Backend unit tests</t>
  </si>
  <si>
    <t xml:space="preserve">pytest coverage ≥ 80% on services/ and api/</t>
  </si>
  <si>
    <t xml:space="preserve">Coverage ≥ 80%; all tests pass</t>
  </si>
  <si>
    <t xml:space="preserve">NFR-TST-002</t>
  </si>
  <si>
    <t xml:space="preserve">Backend integration tests</t>
  </si>
  <si>
    <t xml:space="preserve">API endpoint tests against test database</t>
  </si>
  <si>
    <t xml:space="preserve">Integration tests pass with real database</t>
  </si>
  <si>
    <t xml:space="preserve">NFR-TST-003</t>
  </si>
  <si>
    <t xml:space="preserve">Auth tests</t>
  </si>
  <si>
    <t xml:space="preserve">JWT generation/validation, role permission enforcement</t>
  </si>
  <si>
    <t xml:space="preserve">All auth flows tested; unauthorized access rejected</t>
  </si>
  <si>
    <t xml:space="preserve">NFR-TST-004</t>
  </si>
  <si>
    <t xml:space="preserve">Async task tests</t>
  </si>
  <si>
    <t xml:space="preserve">Celery task unit tests with mocked brokers</t>
  </si>
  <si>
    <t xml:space="preserve">Task execution verified; email/report tested</t>
  </si>
  <si>
    <t xml:space="preserve">NFR-TST-005</t>
  </si>
  <si>
    <t xml:space="preserve">Frontend unit tests</t>
  </si>
  <si>
    <t xml:space="preserve">Vitest + React Testing Library for components</t>
  </si>
  <si>
    <t xml:space="preserve">Component tests pass; key interactions tested</t>
  </si>
  <si>
    <t xml:space="preserve">NFR-TST-006</t>
  </si>
  <si>
    <t xml:space="preserve">Frontend integration tests</t>
  </si>
  <si>
    <t xml:space="preserve">Form submission flows, role-based rendering, navigation guards</t>
  </si>
  <si>
    <t xml:space="preserve">Integration tests verify multi-component workflows</t>
  </si>
  <si>
    <t xml:space="preserve">NFR-TST-007</t>
  </si>
  <si>
    <t xml:space="preserve">End-to-end tests</t>
  </si>
  <si>
    <t xml:space="preserve">Playwright or Cypress E2E: login, log session, submit survey, generate report</t>
  </si>
  <si>
    <t xml:space="preserve">E2E tests pass on staging; cover critical journeys</t>
  </si>
  <si>
    <t xml:space="preserve">NFR-TST-008</t>
  </si>
  <si>
    <t xml:space="preserve">CI/CD test gates</t>
  </si>
  <si>
    <t xml:space="preserve">All PRs: lint, type check, unit tests. Main: full suite</t>
  </si>
  <si>
    <t xml:space="preserve">Failed checks block merge; zero failures for deploy</t>
  </si>
  <si>
    <t xml:space="preserve">NFR-TST-009</t>
  </si>
  <si>
    <t xml:space="preserve">Load testing</t>
  </si>
  <si>
    <t xml:space="preserve">Simulate 500+ concurrent users; validate auto-scaling</t>
  </si>
  <si>
    <t xml:space="preserve">Load test confirms NFR-PERF targets met</t>
  </si>
  <si>
    <t xml:space="preserve">NFR-TST-010</t>
  </si>
  <si>
    <t xml:space="preserve">User Acceptance Testing</t>
  </si>
  <si>
    <t xml:space="preserve">UAT with NUH Medical Affairs staff across disciplines</t>
  </si>
  <si>
    <t xml:space="preserve">UAT sign-off from NUH stakeholders</t>
  </si>
  <si>
    <t xml:space="preserve">KPI-001</t>
  </si>
  <si>
    <t xml:space="preserve">Success Metrics</t>
  </si>
  <si>
    <t xml:space="preserve">KPI</t>
  </si>
  <si>
    <t xml:space="preserve">Manual data entry / tracking time</t>
  </si>
  <si>
    <t xml:space="preserve">50% reduction in manual data entry and tracking time</t>
  </si>
  <si>
    <t xml:space="preserve">Pre/post time-motion study comparing task duration</t>
  </si>
  <si>
    <t xml:space="preserve">KPI-002</t>
  </si>
  <si>
    <t xml:space="preserve">Data accuracy &amp; completeness</t>
  </si>
  <si>
    <t xml:space="preserve">≥ 90% data accuracy and completeness</t>
  </si>
  <si>
    <t xml:space="preserve">Data quality audit on required fields across sample records</t>
  </si>
  <si>
    <t xml:space="preserve">KPI-003</t>
  </si>
  <si>
    <t xml:space="preserve">&lt; 1 minute (80% reduction from ~5 min baseline)</t>
  </si>
  <si>
    <t xml:space="preserve">Stopwatch timing of report generation end-to-end</t>
  </si>
  <si>
    <t xml:space="preserve">KPI-004</t>
  </si>
  <si>
    <t xml:space="preserve">Survey completion rate</t>
  </si>
  <si>
    <t xml:space="preserve">≥ 30% increase in survey completion rate</t>
  </si>
  <si>
    <t xml:space="preserve">Compare completion rates before/after per cohort</t>
  </si>
  <si>
    <t xml:space="preserve">KPI-005</t>
  </si>
  <si>
    <t xml:space="preserve">Staff and user satisfaction</t>
  </si>
  <si>
    <t xml:space="preserve">Measurable improvement in satisfaction</t>
  </si>
  <si>
    <t xml:space="preserve">Pre/post satisfaction survey of all user types</t>
  </si>
  <si>
    <t xml:space="preserve">OOS-001</t>
  </si>
  <si>
    <t xml:space="preserve">Out of Scope</t>
  </si>
  <si>
    <t xml:space="preserve">Student grading / summative assessment</t>
  </si>
  <si>
    <t xml:space="preserve">Not part of operational clinical education workflow</t>
  </si>
  <si>
    <t xml:space="preserve">—</t>
  </si>
  <si>
    <t xml:space="preserve">N/A</t>
  </si>
  <si>
    <t xml:space="preserve">OOS-002</t>
  </si>
  <si>
    <t xml:space="preserve">Financial payment processing</t>
  </si>
  <si>
    <t xml:space="preserve">Billing data export in scope; actual payment not</t>
  </si>
  <si>
    <t xml:space="preserve">Phase B+</t>
  </si>
  <si>
    <t xml:space="preserve">OOS-003</t>
  </si>
  <si>
    <t xml:space="preserve">Patient records / EHR / EMR integration</t>
  </si>
  <si>
    <t xml:space="preserve">ClinEdOps is education operations, not clinical</t>
  </si>
  <si>
    <t xml:space="preserve">OOS-004</t>
  </si>
  <si>
    <t xml:space="preserve">Native iOS / Android mobile app</t>
  </si>
  <si>
    <t xml:space="preserve">Mobile-responsive web in scope; native app is future</t>
  </si>
  <si>
    <t xml:space="preserve">Phase D</t>
  </si>
  <si>
    <t xml:space="preserve">OOS-005</t>
  </si>
  <si>
    <t xml:space="preserve">Full multi-tenancy rollout</t>
  </si>
  <si>
    <t xml:space="preserve">Single-tenant for POC; multi-tenant designed for future</t>
  </si>
  <si>
    <t xml:space="preserve">Phase E</t>
  </si>
  <si>
    <t xml:space="preserve">OOS-006</t>
  </si>
  <si>
    <t xml:space="preserve">Live video / teleconferencing</t>
  </si>
  <si>
    <t xml:space="preserve">Not part of core operations workflow</t>
  </si>
  <si>
    <t xml:space="preserve">OOS-007</t>
  </si>
  <si>
    <t xml:space="preserve">SSO (NUH Azure AD / Singpass)</t>
  </si>
  <si>
    <t xml:space="preserve">Email/password for POC; SSO as production enhancement</t>
  </si>
  <si>
    <t xml:space="preserve">Phase A</t>
  </si>
  <si>
    <t xml:space="preserve">OOS-008</t>
  </si>
  <si>
    <t xml:space="preserve">AI/ML sentiment analysis</t>
  </si>
  <si>
    <t xml:space="preserve">ML-ready pipeline designed; actual ML models post-production</t>
  </si>
  <si>
    <t xml:space="preserve">Phase C</t>
  </si>
  <si>
    <t xml:space="preserve">Requirements Dashboard</t>
  </si>
  <si>
    <t xml:space="preserve">Summary by Category</t>
  </si>
  <si>
    <t xml:space="preserve">Count</t>
  </si>
  <si>
    <t xml:space="preserve">% of Total</t>
  </si>
  <si>
    <t xml:space="preserve">TOTAL</t>
  </si>
  <si>
    <t xml:space="preserve">Summary by Priority</t>
  </si>
  <si>
    <t xml:space="preserve">% of In-Scope</t>
  </si>
  <si>
    <t xml:space="preserve">Must-have for MVP/POC demo</t>
  </si>
  <si>
    <t xml:space="preserve">Must-have for production launch</t>
  </si>
  <si>
    <t xml:space="preserve">Should-have post-production</t>
  </si>
  <si>
    <t xml:space="preserve">P3</t>
  </si>
  <si>
    <t xml:space="preserve">Nice-to-have future roadmap</t>
  </si>
  <si>
    <t xml:space="preserve">In-scope requirements (excl. Out of Scope)</t>
  </si>
  <si>
    <t xml:space="preserve">Requirements by Module</t>
  </si>
  <si>
    <t xml:space="preserve">Module</t>
  </si>
  <si>
    <t xml:space="preserve">Total</t>
  </si>
  <si>
    <t xml:space="preserve">GRAND TOTAL</t>
  </si>
  <si>
    <t xml:space="preserve">ClinEdOps — Success Metrics &amp; KPIs</t>
  </si>
  <si>
    <t xml:space="preserve">KPI ID</t>
  </si>
  <si>
    <t xml:space="preserve">Metric</t>
  </si>
  <si>
    <t xml:space="preserve">Baseline</t>
  </si>
  <si>
    <t xml:space="preserve">Target</t>
  </si>
  <si>
    <t xml:space="preserve">Measurement Method</t>
  </si>
  <si>
    <t xml:space="preserve">Benchmark via user survey</t>
  </si>
  <si>
    <t xml:space="preserve">50% reduction</t>
  </si>
  <si>
    <t xml:space="preserve">Pre/post time-motion study</t>
  </si>
  <si>
    <t xml:space="preserve">Inconsistent across disciplines</t>
  </si>
  <si>
    <t xml:space="preserve">≥ 90%</t>
  </si>
  <si>
    <t xml:space="preserve">Data quality audit on required fields</t>
  </si>
  <si>
    <t xml:space="preserve">~5 minutes per report</t>
  </si>
  <si>
    <t xml:space="preserve">&lt; 1 minute (80% reduction)</t>
  </si>
  <si>
    <t xml:space="preserve">Stopwatch timing end-to-end</t>
  </si>
  <si>
    <t xml:space="preserve">Baseline via audit</t>
  </si>
  <si>
    <t xml:space="preserve">≥ 30% increase</t>
  </si>
  <si>
    <t xml:space="preserve">Compare rates before/after per cohort</t>
  </si>
  <si>
    <t xml:space="preserve">Baseline via survey</t>
  </si>
  <si>
    <t xml:space="preserve">Measurable improvement</t>
  </si>
  <si>
    <t xml:space="preserve">Pre/post satisfaction survey</t>
  </si>
  <si>
    <t xml:space="preserve">Out of Scope — MVP / POC Phase</t>
  </si>
  <si>
    <t xml:space="preserve">Item</t>
  </si>
  <si>
    <t xml:space="preserve">Rationale</t>
  </si>
  <si>
    <t xml:space="preserve">Future Phase</t>
  </si>
  <si>
    <t xml:space="preserve">Mobile-responsive web in scope; native app future</t>
  </si>
  <si>
    <t xml:space="preserve">ML-ready pipeline designed; ML models post-production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</si>
</sst>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B4F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color rgb="FF1B4F7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D9D9D9"/>
      </patternFill>
    </fill>
    <fill>
      <patternFill patternType="solid">
        <fgColor rgb="FFEBF5FB"/>
        <bgColor rgb="FFF9F9F9"/>
      </patternFill>
    </fill>
    <fill>
      <patternFill patternType="solid">
        <fgColor rgb="FFFCF3CF"/>
        <bgColor rgb="FFF9F9F9"/>
      </patternFill>
    </fill>
    <fill>
      <patternFill patternType="solid">
        <fgColor rgb="FFD5F5E3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4F72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9999FF"/>
      <rgbColor rgb="FFC0504D"/>
      <rgbColor rgb="FFFCF3CF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9F9F9"/>
      <rgbColor rgb="FF99CCFF"/>
      <rgbColor rgb="FFFF99CC"/>
      <rgbColor rgb="FFCC99FF"/>
      <rgbColor rgb="FFFADBD8"/>
      <rgbColor rgb="FF2E86C1"/>
      <rgbColor rgb="FF33CCCC"/>
      <rgbColor rgb="FF9BBB59"/>
      <rgbColor rgb="FFFFCC00"/>
      <rgbColor rgb="FFFF9900"/>
      <rgbColor rgb="FFE74C3C"/>
      <rgbColor rgb="FF8064A2"/>
      <rgbColor rgb="FF4F81BD"/>
      <rgbColor rgb="FF1B4F72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Requirements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Dashboard!$A$5:$A$8</c:f>
              <c:strCache>
                <c:ptCount val="4"/>
                <c:pt idx="0">
                  <c:v>Functional</c:v>
                </c:pt>
                <c:pt idx="1">
                  <c:v>Non-Functional</c:v>
                </c:pt>
                <c:pt idx="2">
                  <c:v>KPI</c:v>
                </c:pt>
                <c:pt idx="3">
                  <c:v>Out of Scope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107</c:v>
                </c:pt>
                <c:pt idx="1">
                  <c:v>54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Requirements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Dashboard!$C$13:$C$16</c:f>
              <c:numCache>
                <c:formatCode>General</c:formatCode>
                <c:ptCount val="4"/>
                <c:pt idx="0">
                  <c:v>75</c:v>
                </c:pt>
                <c:pt idx="1">
                  <c:v>70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6670969"/>
        <c:axId val="3828153"/>
      </c:barChart>
      <c:catAx>
        <c:axId val="6670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28153"/>
        <c:crosses val="autoZero"/>
        <c:auto val="1"/>
        <c:lblAlgn val="ctr"/>
        <c:lblOffset val="100"/>
        <c:noMultiLvlLbl val="0"/>
      </c:catAx>
      <c:valAx>
        <c:axId val="3828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709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212400</xdr:colOff>
      <xdr:row>23</xdr:row>
      <xdr:rowOff>124560</xdr:rowOff>
    </xdr:to>
    <xdr:graphicFrame>
      <xdr:nvGraphicFramePr>
        <xdr:cNvPr id="1" name="Chart 1"/>
        <xdr:cNvGraphicFramePr/>
      </xdr:nvGraphicFramePr>
      <xdr:xfrm>
        <a:off x="5216040" y="6951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0</xdr:rowOff>
    </xdr:from>
    <xdr:to>
      <xdr:col>12</xdr:col>
      <xdr:colOff>212400</xdr:colOff>
      <xdr:row>31</xdr:row>
      <xdr:rowOff>139320</xdr:rowOff>
    </xdr:to>
    <xdr:graphicFrame>
      <xdr:nvGraphicFramePr>
        <xdr:cNvPr id="2" name="Chart 2"/>
        <xdr:cNvGraphicFramePr/>
      </xdr:nvGraphicFramePr>
      <xdr:xfrm>
        <a:off x="5216040" y="22338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L1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55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5.05" hidden="false" customHeight="false" outlineLevel="0" collapsed="false">
      <c r="A5" s="4" t="s">
        <v>14</v>
      </c>
      <c r="B5" s="5" t="s">
        <v>15</v>
      </c>
      <c r="C5" s="4" t="s">
        <v>16</v>
      </c>
      <c r="D5" s="5" t="s">
        <v>17</v>
      </c>
      <c r="E5" s="5" t="s">
        <v>18</v>
      </c>
      <c r="F5" s="6" t="s">
        <v>19</v>
      </c>
      <c r="G5" s="4" t="s">
        <v>20</v>
      </c>
      <c r="H5" s="5" t="s">
        <v>21</v>
      </c>
      <c r="I5" s="5"/>
      <c r="J5" s="5"/>
      <c r="K5" s="5"/>
      <c r="L5" s="5"/>
    </row>
    <row r="6" customFormat="false" ht="23.85" hidden="false" customHeight="false" outlineLevel="0" collapsed="false">
      <c r="A6" s="7" t="s">
        <v>22</v>
      </c>
      <c r="B6" s="8" t="s">
        <v>15</v>
      </c>
      <c r="C6" s="7" t="s">
        <v>16</v>
      </c>
      <c r="D6" s="8" t="s">
        <v>23</v>
      </c>
      <c r="E6" s="8" t="s">
        <v>24</v>
      </c>
      <c r="F6" s="6" t="s">
        <v>19</v>
      </c>
      <c r="G6" s="7" t="s">
        <v>20</v>
      </c>
      <c r="H6" s="8" t="s">
        <v>25</v>
      </c>
      <c r="I6" s="8"/>
      <c r="J6" s="8"/>
      <c r="K6" s="8"/>
      <c r="L6" s="8"/>
    </row>
    <row r="7" customFormat="false" ht="23.85" hidden="false" customHeight="false" outlineLevel="0" collapsed="false">
      <c r="A7" s="4" t="s">
        <v>26</v>
      </c>
      <c r="B7" s="5" t="s">
        <v>15</v>
      </c>
      <c r="C7" s="4" t="s">
        <v>16</v>
      </c>
      <c r="D7" s="5" t="s">
        <v>27</v>
      </c>
      <c r="E7" s="5" t="s">
        <v>28</v>
      </c>
      <c r="F7" s="6" t="s">
        <v>19</v>
      </c>
      <c r="G7" s="4" t="s">
        <v>20</v>
      </c>
      <c r="H7" s="5" t="s">
        <v>29</v>
      </c>
      <c r="I7" s="5"/>
      <c r="J7" s="5"/>
      <c r="K7" s="5"/>
      <c r="L7" s="5"/>
    </row>
    <row r="8" customFormat="false" ht="23.85" hidden="false" customHeight="false" outlineLevel="0" collapsed="false">
      <c r="A8" s="7" t="s">
        <v>30</v>
      </c>
      <c r="B8" s="8" t="s">
        <v>15</v>
      </c>
      <c r="C8" s="7" t="s">
        <v>16</v>
      </c>
      <c r="D8" s="8" t="s">
        <v>31</v>
      </c>
      <c r="E8" s="8" t="s">
        <v>32</v>
      </c>
      <c r="F8" s="6" t="s">
        <v>19</v>
      </c>
      <c r="G8" s="7" t="s">
        <v>33</v>
      </c>
      <c r="H8" s="8" t="s">
        <v>34</v>
      </c>
      <c r="I8" s="8"/>
      <c r="J8" s="8"/>
      <c r="K8" s="8"/>
      <c r="L8" s="8"/>
    </row>
    <row r="9" customFormat="false" ht="23.85" hidden="false" customHeight="false" outlineLevel="0" collapsed="false">
      <c r="A9" s="4" t="s">
        <v>35</v>
      </c>
      <c r="B9" s="5" t="s">
        <v>15</v>
      </c>
      <c r="C9" s="4" t="s">
        <v>16</v>
      </c>
      <c r="D9" s="5" t="s">
        <v>36</v>
      </c>
      <c r="E9" s="5" t="s">
        <v>37</v>
      </c>
      <c r="F9" s="6" t="s">
        <v>19</v>
      </c>
      <c r="G9" s="4" t="s">
        <v>33</v>
      </c>
      <c r="H9" s="5" t="s">
        <v>38</v>
      </c>
      <c r="I9" s="5"/>
      <c r="J9" s="5"/>
      <c r="K9" s="5"/>
      <c r="L9" s="5"/>
    </row>
    <row r="10" customFormat="false" ht="23.85" hidden="false" customHeight="false" outlineLevel="0" collapsed="false">
      <c r="A10" s="7" t="s">
        <v>39</v>
      </c>
      <c r="B10" s="8" t="s">
        <v>15</v>
      </c>
      <c r="C10" s="7" t="s">
        <v>16</v>
      </c>
      <c r="D10" s="8" t="s">
        <v>40</v>
      </c>
      <c r="E10" s="8" t="s">
        <v>41</v>
      </c>
      <c r="F10" s="6" t="s">
        <v>19</v>
      </c>
      <c r="G10" s="7" t="s">
        <v>33</v>
      </c>
      <c r="H10" s="8" t="s">
        <v>42</v>
      </c>
      <c r="I10" s="8"/>
      <c r="J10" s="8"/>
      <c r="K10" s="8"/>
      <c r="L10" s="8"/>
    </row>
    <row r="11" customFormat="false" ht="23.85" hidden="false" customHeight="false" outlineLevel="0" collapsed="false">
      <c r="A11" s="4" t="s">
        <v>43</v>
      </c>
      <c r="B11" s="5" t="s">
        <v>15</v>
      </c>
      <c r="C11" s="4" t="s">
        <v>16</v>
      </c>
      <c r="D11" s="5" t="s">
        <v>44</v>
      </c>
      <c r="E11" s="5" t="s">
        <v>45</v>
      </c>
      <c r="F11" s="6" t="s">
        <v>19</v>
      </c>
      <c r="G11" s="4" t="s">
        <v>33</v>
      </c>
      <c r="H11" s="5" t="s">
        <v>46</v>
      </c>
      <c r="I11" s="5"/>
      <c r="J11" s="5"/>
      <c r="K11" s="5"/>
      <c r="L11" s="5"/>
    </row>
    <row r="12" customFormat="false" ht="23.85" hidden="false" customHeight="false" outlineLevel="0" collapsed="false">
      <c r="A12" s="7" t="s">
        <v>47</v>
      </c>
      <c r="B12" s="8" t="s">
        <v>15</v>
      </c>
      <c r="C12" s="7" t="s">
        <v>16</v>
      </c>
      <c r="D12" s="8" t="s">
        <v>48</v>
      </c>
      <c r="E12" s="8" t="s">
        <v>49</v>
      </c>
      <c r="F12" s="9" t="s">
        <v>50</v>
      </c>
      <c r="G12" s="7" t="s">
        <v>33</v>
      </c>
      <c r="H12" s="8" t="s">
        <v>51</v>
      </c>
      <c r="I12" s="8"/>
      <c r="J12" s="8"/>
      <c r="K12" s="8"/>
      <c r="L12" s="8"/>
    </row>
    <row r="13" customFormat="false" ht="23.85" hidden="false" customHeight="false" outlineLevel="0" collapsed="false">
      <c r="A13" s="4" t="s">
        <v>52</v>
      </c>
      <c r="B13" s="5" t="s">
        <v>15</v>
      </c>
      <c r="C13" s="4" t="s">
        <v>16</v>
      </c>
      <c r="D13" s="5" t="s">
        <v>53</v>
      </c>
      <c r="E13" s="5" t="s">
        <v>54</v>
      </c>
      <c r="F13" s="9" t="s">
        <v>50</v>
      </c>
      <c r="G13" s="4" t="s">
        <v>33</v>
      </c>
      <c r="H13" s="5" t="s">
        <v>55</v>
      </c>
      <c r="I13" s="5"/>
      <c r="J13" s="5"/>
      <c r="K13" s="5"/>
      <c r="L13" s="5"/>
    </row>
    <row r="14" customFormat="false" ht="23.85" hidden="false" customHeight="false" outlineLevel="0" collapsed="false">
      <c r="A14" s="7" t="s">
        <v>56</v>
      </c>
      <c r="B14" s="8" t="s">
        <v>15</v>
      </c>
      <c r="C14" s="7" t="s">
        <v>16</v>
      </c>
      <c r="D14" s="8" t="s">
        <v>57</v>
      </c>
      <c r="E14" s="8" t="s">
        <v>58</v>
      </c>
      <c r="F14" s="9" t="s">
        <v>50</v>
      </c>
      <c r="G14" s="7" t="s">
        <v>33</v>
      </c>
      <c r="H14" s="8" t="s">
        <v>59</v>
      </c>
      <c r="I14" s="8"/>
      <c r="J14" s="8"/>
      <c r="K14" s="8"/>
      <c r="L14" s="8"/>
    </row>
    <row r="15" customFormat="false" ht="23.85" hidden="false" customHeight="false" outlineLevel="0" collapsed="false">
      <c r="A15" s="4" t="s">
        <v>60</v>
      </c>
      <c r="B15" s="5" t="s">
        <v>15</v>
      </c>
      <c r="C15" s="4" t="s">
        <v>16</v>
      </c>
      <c r="D15" s="5" t="s">
        <v>61</v>
      </c>
      <c r="E15" s="5" t="s">
        <v>62</v>
      </c>
      <c r="F15" s="6" t="s">
        <v>19</v>
      </c>
      <c r="G15" s="4" t="s">
        <v>20</v>
      </c>
      <c r="H15" s="5" t="s">
        <v>63</v>
      </c>
      <c r="I15" s="5"/>
      <c r="J15" s="5"/>
      <c r="K15" s="5"/>
      <c r="L15" s="5"/>
    </row>
    <row r="16" customFormat="false" ht="23.85" hidden="false" customHeight="false" outlineLevel="0" collapsed="false">
      <c r="A16" s="7" t="s">
        <v>64</v>
      </c>
      <c r="B16" s="8" t="s">
        <v>15</v>
      </c>
      <c r="C16" s="7" t="s">
        <v>16</v>
      </c>
      <c r="D16" s="8" t="s">
        <v>65</v>
      </c>
      <c r="E16" s="8" t="s">
        <v>66</v>
      </c>
      <c r="F16" s="6" t="s">
        <v>19</v>
      </c>
      <c r="G16" s="7" t="s">
        <v>33</v>
      </c>
      <c r="H16" s="8" t="s">
        <v>67</v>
      </c>
      <c r="I16" s="8"/>
      <c r="J16" s="8"/>
      <c r="K16" s="8"/>
      <c r="L16" s="8"/>
    </row>
    <row r="17" customFormat="false" ht="23.85" hidden="false" customHeight="false" outlineLevel="0" collapsed="false">
      <c r="A17" s="4" t="s">
        <v>68</v>
      </c>
      <c r="B17" s="5" t="s">
        <v>15</v>
      </c>
      <c r="C17" s="4" t="s">
        <v>16</v>
      </c>
      <c r="D17" s="5" t="s">
        <v>69</v>
      </c>
      <c r="E17" s="5" t="s">
        <v>70</v>
      </c>
      <c r="F17" s="6" t="s">
        <v>19</v>
      </c>
      <c r="G17" s="4" t="s">
        <v>33</v>
      </c>
      <c r="H17" s="5" t="s">
        <v>71</v>
      </c>
      <c r="I17" s="5"/>
      <c r="J17" s="5"/>
      <c r="K17" s="5"/>
      <c r="L17" s="5"/>
    </row>
    <row r="18" customFormat="false" ht="15" hidden="false" customHeight="false" outlineLevel="0" collapsed="false">
      <c r="A18" s="7" t="s">
        <v>72</v>
      </c>
      <c r="B18" s="8" t="s">
        <v>15</v>
      </c>
      <c r="C18" s="7" t="s">
        <v>16</v>
      </c>
      <c r="D18" s="8" t="s">
        <v>73</v>
      </c>
      <c r="E18" s="8" t="s">
        <v>74</v>
      </c>
      <c r="F18" s="6" t="s">
        <v>19</v>
      </c>
      <c r="G18" s="7" t="s">
        <v>33</v>
      </c>
      <c r="H18" s="8" t="s">
        <v>75</v>
      </c>
      <c r="I18" s="8"/>
      <c r="J18" s="8"/>
      <c r="K18" s="8"/>
      <c r="L18" s="8"/>
    </row>
    <row r="19" customFormat="false" ht="23.85" hidden="false" customHeight="false" outlineLevel="0" collapsed="false">
      <c r="A19" s="4" t="s">
        <v>76</v>
      </c>
      <c r="B19" s="5" t="s">
        <v>15</v>
      </c>
      <c r="C19" s="4" t="s">
        <v>16</v>
      </c>
      <c r="D19" s="5" t="s">
        <v>77</v>
      </c>
      <c r="E19" s="5" t="s">
        <v>78</v>
      </c>
      <c r="F19" s="9" t="s">
        <v>50</v>
      </c>
      <c r="G19" s="4" t="s">
        <v>20</v>
      </c>
      <c r="H19" s="5" t="s">
        <v>79</v>
      </c>
      <c r="I19" s="5"/>
      <c r="J19" s="5"/>
      <c r="K19" s="5"/>
      <c r="L19" s="5"/>
    </row>
    <row r="20" customFormat="false" ht="23.85" hidden="false" customHeight="false" outlineLevel="0" collapsed="false">
      <c r="A20" s="7" t="s">
        <v>80</v>
      </c>
      <c r="B20" s="8" t="s">
        <v>15</v>
      </c>
      <c r="C20" s="7" t="s">
        <v>16</v>
      </c>
      <c r="D20" s="8" t="s">
        <v>81</v>
      </c>
      <c r="E20" s="8" t="s">
        <v>82</v>
      </c>
      <c r="F20" s="9" t="s">
        <v>50</v>
      </c>
      <c r="G20" s="7" t="s">
        <v>33</v>
      </c>
      <c r="H20" s="8" t="s">
        <v>83</v>
      </c>
      <c r="I20" s="8"/>
      <c r="J20" s="8"/>
      <c r="K20" s="8"/>
      <c r="L20" s="8"/>
    </row>
    <row r="21" customFormat="false" ht="23.85" hidden="false" customHeight="false" outlineLevel="0" collapsed="false">
      <c r="A21" s="4" t="s">
        <v>84</v>
      </c>
      <c r="B21" s="5" t="s">
        <v>85</v>
      </c>
      <c r="C21" s="4" t="s">
        <v>16</v>
      </c>
      <c r="D21" s="5" t="s">
        <v>86</v>
      </c>
      <c r="E21" s="5" t="s">
        <v>87</v>
      </c>
      <c r="F21" s="6" t="s">
        <v>19</v>
      </c>
      <c r="G21" s="4" t="s">
        <v>33</v>
      </c>
      <c r="H21" s="5" t="s">
        <v>88</v>
      </c>
      <c r="I21" s="5"/>
      <c r="J21" s="5"/>
      <c r="K21" s="5"/>
      <c r="L21" s="5"/>
    </row>
    <row r="22" customFormat="false" ht="23.85" hidden="false" customHeight="false" outlineLevel="0" collapsed="false">
      <c r="A22" s="7" t="s">
        <v>89</v>
      </c>
      <c r="B22" s="8" t="s">
        <v>85</v>
      </c>
      <c r="C22" s="7" t="s">
        <v>16</v>
      </c>
      <c r="D22" s="8" t="s">
        <v>90</v>
      </c>
      <c r="E22" s="8" t="s">
        <v>91</v>
      </c>
      <c r="F22" s="6" t="s">
        <v>19</v>
      </c>
      <c r="G22" s="7" t="s">
        <v>33</v>
      </c>
      <c r="H22" s="8" t="s">
        <v>92</v>
      </c>
      <c r="I22" s="8"/>
      <c r="J22" s="8"/>
      <c r="K22" s="8"/>
      <c r="L22" s="8"/>
    </row>
    <row r="23" customFormat="false" ht="23.85" hidden="false" customHeight="false" outlineLevel="0" collapsed="false">
      <c r="A23" s="4" t="s">
        <v>93</v>
      </c>
      <c r="B23" s="5" t="s">
        <v>85</v>
      </c>
      <c r="C23" s="4" t="s">
        <v>16</v>
      </c>
      <c r="D23" s="5" t="s">
        <v>94</v>
      </c>
      <c r="E23" s="5" t="s">
        <v>95</v>
      </c>
      <c r="F23" s="6" t="s">
        <v>19</v>
      </c>
      <c r="G23" s="4" t="s">
        <v>33</v>
      </c>
      <c r="H23" s="5" t="s">
        <v>96</v>
      </c>
      <c r="I23" s="5"/>
      <c r="J23" s="5"/>
      <c r="K23" s="5"/>
      <c r="L23" s="5"/>
    </row>
    <row r="24" customFormat="false" ht="23.85" hidden="false" customHeight="false" outlineLevel="0" collapsed="false">
      <c r="A24" s="7" t="s">
        <v>97</v>
      </c>
      <c r="B24" s="8" t="s">
        <v>85</v>
      </c>
      <c r="C24" s="7" t="s">
        <v>16</v>
      </c>
      <c r="D24" s="8" t="s">
        <v>98</v>
      </c>
      <c r="E24" s="8" t="s">
        <v>99</v>
      </c>
      <c r="F24" s="6" t="s">
        <v>19</v>
      </c>
      <c r="G24" s="7" t="s">
        <v>33</v>
      </c>
      <c r="H24" s="8" t="s">
        <v>100</v>
      </c>
      <c r="I24" s="8"/>
      <c r="J24" s="8"/>
      <c r="K24" s="8"/>
      <c r="L24" s="8"/>
    </row>
    <row r="25" customFormat="false" ht="23.85" hidden="false" customHeight="false" outlineLevel="0" collapsed="false">
      <c r="A25" s="4" t="s">
        <v>101</v>
      </c>
      <c r="B25" s="5" t="s">
        <v>85</v>
      </c>
      <c r="C25" s="4" t="s">
        <v>16</v>
      </c>
      <c r="D25" s="5" t="s">
        <v>102</v>
      </c>
      <c r="E25" s="5" t="s">
        <v>103</v>
      </c>
      <c r="F25" s="6" t="s">
        <v>19</v>
      </c>
      <c r="G25" s="4" t="s">
        <v>33</v>
      </c>
      <c r="H25" s="5" t="s">
        <v>104</v>
      </c>
      <c r="I25" s="5"/>
      <c r="J25" s="5"/>
      <c r="K25" s="5"/>
      <c r="L25" s="5"/>
    </row>
    <row r="26" customFormat="false" ht="23.85" hidden="false" customHeight="false" outlineLevel="0" collapsed="false">
      <c r="A26" s="7" t="s">
        <v>105</v>
      </c>
      <c r="B26" s="8" t="s">
        <v>85</v>
      </c>
      <c r="C26" s="7" t="s">
        <v>16</v>
      </c>
      <c r="D26" s="8" t="s">
        <v>106</v>
      </c>
      <c r="E26" s="8" t="s">
        <v>107</v>
      </c>
      <c r="F26" s="6" t="s">
        <v>19</v>
      </c>
      <c r="G26" s="7" t="s">
        <v>33</v>
      </c>
      <c r="H26" s="8" t="s">
        <v>108</v>
      </c>
      <c r="I26" s="8"/>
      <c r="J26" s="8"/>
      <c r="K26" s="8"/>
      <c r="L26" s="8"/>
    </row>
    <row r="27" customFormat="false" ht="23.85" hidden="false" customHeight="false" outlineLevel="0" collapsed="false">
      <c r="A27" s="4" t="s">
        <v>109</v>
      </c>
      <c r="B27" s="5" t="s">
        <v>110</v>
      </c>
      <c r="C27" s="4" t="s">
        <v>16</v>
      </c>
      <c r="D27" s="5" t="s">
        <v>111</v>
      </c>
      <c r="E27" s="5" t="s">
        <v>112</v>
      </c>
      <c r="F27" s="6" t="s">
        <v>19</v>
      </c>
      <c r="G27" s="4" t="s">
        <v>20</v>
      </c>
      <c r="H27" s="5" t="s">
        <v>113</v>
      </c>
      <c r="I27" s="5"/>
      <c r="J27" s="5"/>
      <c r="K27" s="5"/>
      <c r="L27" s="5"/>
    </row>
    <row r="28" customFormat="false" ht="23.85" hidden="false" customHeight="false" outlineLevel="0" collapsed="false">
      <c r="A28" s="7" t="s">
        <v>114</v>
      </c>
      <c r="B28" s="8" t="s">
        <v>110</v>
      </c>
      <c r="C28" s="7" t="s">
        <v>16</v>
      </c>
      <c r="D28" s="8" t="s">
        <v>115</v>
      </c>
      <c r="E28" s="8" t="s">
        <v>116</v>
      </c>
      <c r="F28" s="6" t="s">
        <v>19</v>
      </c>
      <c r="G28" s="7" t="s">
        <v>33</v>
      </c>
      <c r="H28" s="8" t="s">
        <v>117</v>
      </c>
      <c r="I28" s="8"/>
      <c r="J28" s="8"/>
      <c r="K28" s="8"/>
      <c r="L28" s="8"/>
    </row>
    <row r="29" customFormat="false" ht="23.85" hidden="false" customHeight="false" outlineLevel="0" collapsed="false">
      <c r="A29" s="4" t="s">
        <v>118</v>
      </c>
      <c r="B29" s="5" t="s">
        <v>110</v>
      </c>
      <c r="C29" s="4" t="s">
        <v>16</v>
      </c>
      <c r="D29" s="5" t="s">
        <v>119</v>
      </c>
      <c r="E29" s="5" t="s">
        <v>120</v>
      </c>
      <c r="F29" s="6" t="s">
        <v>19</v>
      </c>
      <c r="G29" s="4" t="s">
        <v>33</v>
      </c>
      <c r="H29" s="5" t="s">
        <v>121</v>
      </c>
      <c r="I29" s="5"/>
      <c r="J29" s="5"/>
      <c r="K29" s="5"/>
      <c r="L29" s="5"/>
    </row>
    <row r="30" customFormat="false" ht="15" hidden="false" customHeight="false" outlineLevel="0" collapsed="false">
      <c r="A30" s="7" t="s">
        <v>122</v>
      </c>
      <c r="B30" s="8" t="s">
        <v>110</v>
      </c>
      <c r="C30" s="7" t="s">
        <v>16</v>
      </c>
      <c r="D30" s="8" t="s">
        <v>123</v>
      </c>
      <c r="E30" s="8" t="s">
        <v>124</v>
      </c>
      <c r="F30" s="6" t="s">
        <v>19</v>
      </c>
      <c r="G30" s="7" t="s">
        <v>33</v>
      </c>
      <c r="H30" s="8" t="s">
        <v>125</v>
      </c>
      <c r="I30" s="8"/>
      <c r="J30" s="8"/>
      <c r="K30" s="8"/>
      <c r="L30" s="8"/>
    </row>
    <row r="31" customFormat="false" ht="23.85" hidden="false" customHeight="false" outlineLevel="0" collapsed="false">
      <c r="A31" s="4" t="s">
        <v>126</v>
      </c>
      <c r="B31" s="5" t="s">
        <v>110</v>
      </c>
      <c r="C31" s="4" t="s">
        <v>16</v>
      </c>
      <c r="D31" s="5" t="s">
        <v>127</v>
      </c>
      <c r="E31" s="5" t="s">
        <v>128</v>
      </c>
      <c r="F31" s="6" t="s">
        <v>19</v>
      </c>
      <c r="G31" s="4" t="s">
        <v>20</v>
      </c>
      <c r="H31" s="5" t="s">
        <v>129</v>
      </c>
      <c r="I31" s="5"/>
      <c r="J31" s="5"/>
      <c r="K31" s="5"/>
      <c r="L31" s="5"/>
    </row>
    <row r="32" customFormat="false" ht="23.85" hidden="false" customHeight="false" outlineLevel="0" collapsed="false">
      <c r="A32" s="7" t="s">
        <v>130</v>
      </c>
      <c r="B32" s="8" t="s">
        <v>110</v>
      </c>
      <c r="C32" s="7" t="s">
        <v>16</v>
      </c>
      <c r="D32" s="8" t="s">
        <v>131</v>
      </c>
      <c r="E32" s="8" t="s">
        <v>132</v>
      </c>
      <c r="F32" s="6" t="s">
        <v>19</v>
      </c>
      <c r="G32" s="7" t="s">
        <v>33</v>
      </c>
      <c r="H32" s="8" t="s">
        <v>133</v>
      </c>
      <c r="I32" s="8"/>
      <c r="J32" s="8"/>
      <c r="K32" s="8"/>
      <c r="L32" s="8"/>
    </row>
    <row r="33" customFormat="false" ht="23.85" hidden="false" customHeight="false" outlineLevel="0" collapsed="false">
      <c r="A33" s="4" t="s">
        <v>134</v>
      </c>
      <c r="B33" s="5" t="s">
        <v>110</v>
      </c>
      <c r="C33" s="4" t="s">
        <v>16</v>
      </c>
      <c r="D33" s="5" t="s">
        <v>135</v>
      </c>
      <c r="E33" s="5" t="s">
        <v>136</v>
      </c>
      <c r="F33" s="6" t="s">
        <v>19</v>
      </c>
      <c r="G33" s="4" t="s">
        <v>20</v>
      </c>
      <c r="H33" s="5" t="s">
        <v>137</v>
      </c>
      <c r="I33" s="5"/>
      <c r="J33" s="5"/>
      <c r="K33" s="5"/>
      <c r="L33" s="5"/>
    </row>
    <row r="34" customFormat="false" ht="23.85" hidden="false" customHeight="false" outlineLevel="0" collapsed="false">
      <c r="A34" s="7" t="s">
        <v>138</v>
      </c>
      <c r="B34" s="8" t="s">
        <v>110</v>
      </c>
      <c r="C34" s="7" t="s">
        <v>16</v>
      </c>
      <c r="D34" s="8" t="s">
        <v>139</v>
      </c>
      <c r="E34" s="8" t="s">
        <v>140</v>
      </c>
      <c r="F34" s="6" t="s">
        <v>19</v>
      </c>
      <c r="G34" s="7" t="s">
        <v>20</v>
      </c>
      <c r="H34" s="8" t="s">
        <v>141</v>
      </c>
      <c r="I34" s="8"/>
      <c r="J34" s="8"/>
      <c r="K34" s="8"/>
      <c r="L34" s="8"/>
    </row>
    <row r="35" customFormat="false" ht="23.85" hidden="false" customHeight="false" outlineLevel="0" collapsed="false">
      <c r="A35" s="4" t="s">
        <v>142</v>
      </c>
      <c r="B35" s="5" t="s">
        <v>110</v>
      </c>
      <c r="C35" s="4" t="s">
        <v>16</v>
      </c>
      <c r="D35" s="5" t="s">
        <v>143</v>
      </c>
      <c r="E35" s="5" t="s">
        <v>144</v>
      </c>
      <c r="F35" s="9" t="s">
        <v>50</v>
      </c>
      <c r="G35" s="4" t="s">
        <v>33</v>
      </c>
      <c r="H35" s="5" t="s">
        <v>145</v>
      </c>
      <c r="I35" s="5"/>
      <c r="J35" s="5"/>
      <c r="K35" s="5"/>
      <c r="L35" s="5"/>
    </row>
    <row r="36" customFormat="false" ht="23.85" hidden="false" customHeight="false" outlineLevel="0" collapsed="false">
      <c r="A36" s="7" t="s">
        <v>146</v>
      </c>
      <c r="B36" s="8" t="s">
        <v>110</v>
      </c>
      <c r="C36" s="7" t="s">
        <v>16</v>
      </c>
      <c r="D36" s="8" t="s">
        <v>147</v>
      </c>
      <c r="E36" s="8" t="s">
        <v>148</v>
      </c>
      <c r="F36" s="9" t="s">
        <v>50</v>
      </c>
      <c r="G36" s="7" t="s">
        <v>20</v>
      </c>
      <c r="H36" s="8" t="s">
        <v>149</v>
      </c>
      <c r="I36" s="8"/>
      <c r="J36" s="8"/>
      <c r="K36" s="8"/>
      <c r="L36" s="8"/>
    </row>
    <row r="37" customFormat="false" ht="23.85" hidden="false" customHeight="false" outlineLevel="0" collapsed="false">
      <c r="A37" s="4" t="s">
        <v>150</v>
      </c>
      <c r="B37" s="5" t="s">
        <v>110</v>
      </c>
      <c r="C37" s="4" t="s">
        <v>16</v>
      </c>
      <c r="D37" s="5" t="s">
        <v>151</v>
      </c>
      <c r="E37" s="5" t="s">
        <v>152</v>
      </c>
      <c r="F37" s="6" t="s">
        <v>19</v>
      </c>
      <c r="G37" s="4" t="s">
        <v>20</v>
      </c>
      <c r="H37" s="5" t="s">
        <v>153</v>
      </c>
      <c r="I37" s="5"/>
      <c r="J37" s="5"/>
      <c r="K37" s="5"/>
      <c r="L37" s="5"/>
    </row>
    <row r="38" customFormat="false" ht="23.85" hidden="false" customHeight="false" outlineLevel="0" collapsed="false">
      <c r="A38" s="7" t="s">
        <v>154</v>
      </c>
      <c r="B38" s="8" t="s">
        <v>110</v>
      </c>
      <c r="C38" s="7" t="s">
        <v>16</v>
      </c>
      <c r="D38" s="8" t="s">
        <v>155</v>
      </c>
      <c r="E38" s="8" t="s">
        <v>156</v>
      </c>
      <c r="F38" s="6" t="s">
        <v>19</v>
      </c>
      <c r="G38" s="7" t="s">
        <v>33</v>
      </c>
      <c r="H38" s="8" t="s">
        <v>157</v>
      </c>
      <c r="I38" s="8"/>
      <c r="J38" s="8"/>
      <c r="K38" s="8"/>
      <c r="L38" s="8"/>
    </row>
    <row r="39" customFormat="false" ht="23.85" hidden="false" customHeight="false" outlineLevel="0" collapsed="false">
      <c r="A39" s="4" t="s">
        <v>158</v>
      </c>
      <c r="B39" s="5" t="s">
        <v>110</v>
      </c>
      <c r="C39" s="4" t="s">
        <v>16</v>
      </c>
      <c r="D39" s="5" t="s">
        <v>159</v>
      </c>
      <c r="E39" s="5" t="s">
        <v>160</v>
      </c>
      <c r="F39" s="6" t="s">
        <v>19</v>
      </c>
      <c r="G39" s="4" t="s">
        <v>33</v>
      </c>
      <c r="H39" s="5" t="s">
        <v>161</v>
      </c>
      <c r="I39" s="5"/>
      <c r="J39" s="5"/>
      <c r="K39" s="5"/>
      <c r="L39" s="5"/>
    </row>
    <row r="40" customFormat="false" ht="15" hidden="false" customHeight="false" outlineLevel="0" collapsed="false">
      <c r="A40" s="7" t="s">
        <v>162</v>
      </c>
      <c r="B40" s="8" t="s">
        <v>110</v>
      </c>
      <c r="C40" s="7" t="s">
        <v>16</v>
      </c>
      <c r="D40" s="8" t="s">
        <v>163</v>
      </c>
      <c r="E40" s="8" t="s">
        <v>164</v>
      </c>
      <c r="F40" s="6" t="s">
        <v>19</v>
      </c>
      <c r="G40" s="7" t="s">
        <v>33</v>
      </c>
      <c r="H40" s="8" t="s">
        <v>165</v>
      </c>
      <c r="I40" s="8"/>
      <c r="J40" s="8"/>
      <c r="K40" s="8"/>
      <c r="L40" s="8"/>
    </row>
    <row r="41" customFormat="false" ht="23.85" hidden="false" customHeight="false" outlineLevel="0" collapsed="false">
      <c r="A41" s="4" t="s">
        <v>166</v>
      </c>
      <c r="B41" s="5" t="s">
        <v>110</v>
      </c>
      <c r="C41" s="4" t="s">
        <v>16</v>
      </c>
      <c r="D41" s="5" t="s">
        <v>167</v>
      </c>
      <c r="E41" s="5" t="s">
        <v>168</v>
      </c>
      <c r="F41" s="6" t="s">
        <v>19</v>
      </c>
      <c r="G41" s="4" t="s">
        <v>33</v>
      </c>
      <c r="H41" s="5" t="s">
        <v>169</v>
      </c>
      <c r="I41" s="5"/>
      <c r="J41" s="5"/>
      <c r="K41" s="5"/>
      <c r="L41" s="5"/>
    </row>
    <row r="42" customFormat="false" ht="23.85" hidden="false" customHeight="false" outlineLevel="0" collapsed="false">
      <c r="A42" s="7" t="s">
        <v>170</v>
      </c>
      <c r="B42" s="8" t="s">
        <v>110</v>
      </c>
      <c r="C42" s="7" t="s">
        <v>16</v>
      </c>
      <c r="D42" s="8" t="s">
        <v>171</v>
      </c>
      <c r="E42" s="8" t="s">
        <v>172</v>
      </c>
      <c r="F42" s="9" t="s">
        <v>50</v>
      </c>
      <c r="G42" s="7" t="s">
        <v>20</v>
      </c>
      <c r="H42" s="8" t="s">
        <v>173</v>
      </c>
      <c r="I42" s="8"/>
      <c r="J42" s="8"/>
      <c r="K42" s="8"/>
      <c r="L42" s="8"/>
    </row>
    <row r="43" customFormat="false" ht="23.85" hidden="false" customHeight="false" outlineLevel="0" collapsed="false">
      <c r="A43" s="4" t="s">
        <v>174</v>
      </c>
      <c r="B43" s="5" t="s">
        <v>175</v>
      </c>
      <c r="C43" s="4" t="s">
        <v>16</v>
      </c>
      <c r="D43" s="5" t="s">
        <v>176</v>
      </c>
      <c r="E43" s="5" t="s">
        <v>177</v>
      </c>
      <c r="F43" s="6" t="s">
        <v>19</v>
      </c>
      <c r="G43" s="4" t="s">
        <v>20</v>
      </c>
      <c r="H43" s="5" t="s">
        <v>178</v>
      </c>
      <c r="I43" s="5"/>
      <c r="J43" s="5"/>
      <c r="K43" s="5"/>
      <c r="L43" s="5"/>
    </row>
    <row r="44" customFormat="false" ht="23.85" hidden="false" customHeight="false" outlineLevel="0" collapsed="false">
      <c r="A44" s="7" t="s">
        <v>179</v>
      </c>
      <c r="B44" s="8" t="s">
        <v>175</v>
      </c>
      <c r="C44" s="7" t="s">
        <v>16</v>
      </c>
      <c r="D44" s="8" t="s">
        <v>180</v>
      </c>
      <c r="E44" s="8" t="s">
        <v>181</v>
      </c>
      <c r="F44" s="6" t="s">
        <v>19</v>
      </c>
      <c r="G44" s="7" t="s">
        <v>33</v>
      </c>
      <c r="H44" s="8" t="s">
        <v>182</v>
      </c>
      <c r="I44" s="8"/>
      <c r="J44" s="8"/>
      <c r="K44" s="8"/>
      <c r="L44" s="8"/>
    </row>
    <row r="45" customFormat="false" ht="23.85" hidden="false" customHeight="false" outlineLevel="0" collapsed="false">
      <c r="A45" s="4" t="s">
        <v>183</v>
      </c>
      <c r="B45" s="5" t="s">
        <v>175</v>
      </c>
      <c r="C45" s="4" t="s">
        <v>16</v>
      </c>
      <c r="D45" s="5" t="s">
        <v>184</v>
      </c>
      <c r="E45" s="5" t="s">
        <v>185</v>
      </c>
      <c r="F45" s="6" t="s">
        <v>19</v>
      </c>
      <c r="G45" s="4" t="s">
        <v>186</v>
      </c>
      <c r="H45" s="5" t="s">
        <v>187</v>
      </c>
      <c r="I45" s="5"/>
      <c r="J45" s="5"/>
      <c r="K45" s="5"/>
      <c r="L45" s="5"/>
    </row>
    <row r="46" customFormat="false" ht="23.85" hidden="false" customHeight="false" outlineLevel="0" collapsed="false">
      <c r="A46" s="7" t="s">
        <v>188</v>
      </c>
      <c r="B46" s="8" t="s">
        <v>175</v>
      </c>
      <c r="C46" s="7" t="s">
        <v>16</v>
      </c>
      <c r="D46" s="8" t="s">
        <v>189</v>
      </c>
      <c r="E46" s="8" t="s">
        <v>190</v>
      </c>
      <c r="F46" s="9" t="s">
        <v>50</v>
      </c>
      <c r="G46" s="7" t="s">
        <v>33</v>
      </c>
      <c r="H46" s="8" t="s">
        <v>191</v>
      </c>
      <c r="I46" s="8"/>
      <c r="J46" s="8"/>
      <c r="K46" s="8"/>
      <c r="L46" s="8"/>
    </row>
    <row r="47" customFormat="false" ht="23.85" hidden="false" customHeight="false" outlineLevel="0" collapsed="false">
      <c r="A47" s="4" t="s">
        <v>192</v>
      </c>
      <c r="B47" s="5" t="s">
        <v>175</v>
      </c>
      <c r="C47" s="4" t="s">
        <v>16</v>
      </c>
      <c r="D47" s="5" t="s">
        <v>193</v>
      </c>
      <c r="E47" s="5" t="s">
        <v>194</v>
      </c>
      <c r="F47" s="6" t="s">
        <v>19</v>
      </c>
      <c r="G47" s="4" t="s">
        <v>20</v>
      </c>
      <c r="H47" s="5" t="s">
        <v>195</v>
      </c>
      <c r="I47" s="5"/>
      <c r="J47" s="5"/>
      <c r="K47" s="5"/>
      <c r="L47" s="5"/>
    </row>
    <row r="48" customFormat="false" ht="23.85" hidden="false" customHeight="false" outlineLevel="0" collapsed="false">
      <c r="A48" s="7" t="s">
        <v>196</v>
      </c>
      <c r="B48" s="8" t="s">
        <v>175</v>
      </c>
      <c r="C48" s="7" t="s">
        <v>16</v>
      </c>
      <c r="D48" s="8" t="s">
        <v>197</v>
      </c>
      <c r="E48" s="8" t="s">
        <v>198</v>
      </c>
      <c r="F48" s="6" t="s">
        <v>19</v>
      </c>
      <c r="G48" s="7" t="s">
        <v>20</v>
      </c>
      <c r="H48" s="8" t="s">
        <v>199</v>
      </c>
      <c r="I48" s="8"/>
      <c r="J48" s="8"/>
      <c r="K48" s="8"/>
      <c r="L48" s="8"/>
    </row>
    <row r="49" customFormat="false" ht="23.85" hidden="false" customHeight="false" outlineLevel="0" collapsed="false">
      <c r="A49" s="4" t="s">
        <v>200</v>
      </c>
      <c r="B49" s="5" t="s">
        <v>175</v>
      </c>
      <c r="C49" s="4" t="s">
        <v>16</v>
      </c>
      <c r="D49" s="5" t="s">
        <v>201</v>
      </c>
      <c r="E49" s="5" t="s">
        <v>202</v>
      </c>
      <c r="F49" s="6" t="s">
        <v>19</v>
      </c>
      <c r="G49" s="4" t="s">
        <v>20</v>
      </c>
      <c r="H49" s="5" t="s">
        <v>203</v>
      </c>
      <c r="I49" s="5"/>
      <c r="J49" s="5"/>
      <c r="K49" s="5"/>
      <c r="L49" s="5"/>
    </row>
    <row r="50" customFormat="false" ht="23.85" hidden="false" customHeight="false" outlineLevel="0" collapsed="false">
      <c r="A50" s="7" t="s">
        <v>204</v>
      </c>
      <c r="B50" s="8" t="s">
        <v>175</v>
      </c>
      <c r="C50" s="7" t="s">
        <v>16</v>
      </c>
      <c r="D50" s="8" t="s">
        <v>205</v>
      </c>
      <c r="E50" s="8" t="s">
        <v>206</v>
      </c>
      <c r="F50" s="6" t="s">
        <v>19</v>
      </c>
      <c r="G50" s="7" t="s">
        <v>20</v>
      </c>
      <c r="H50" s="8" t="s">
        <v>207</v>
      </c>
      <c r="I50" s="8"/>
      <c r="J50" s="8"/>
      <c r="K50" s="8"/>
      <c r="L50" s="8"/>
    </row>
    <row r="51" customFormat="false" ht="23.85" hidden="false" customHeight="false" outlineLevel="0" collapsed="false">
      <c r="A51" s="4" t="s">
        <v>208</v>
      </c>
      <c r="B51" s="5" t="s">
        <v>175</v>
      </c>
      <c r="C51" s="4" t="s">
        <v>16</v>
      </c>
      <c r="D51" s="5" t="s">
        <v>209</v>
      </c>
      <c r="E51" s="5" t="s">
        <v>210</v>
      </c>
      <c r="F51" s="9" t="s">
        <v>50</v>
      </c>
      <c r="G51" s="4" t="s">
        <v>33</v>
      </c>
      <c r="H51" s="5" t="s">
        <v>211</v>
      </c>
      <c r="I51" s="5"/>
      <c r="J51" s="5"/>
      <c r="K51" s="5"/>
      <c r="L51" s="5"/>
    </row>
    <row r="52" customFormat="false" ht="23.85" hidden="false" customHeight="false" outlineLevel="0" collapsed="false">
      <c r="A52" s="7" t="s">
        <v>212</v>
      </c>
      <c r="B52" s="8" t="s">
        <v>175</v>
      </c>
      <c r="C52" s="7" t="s">
        <v>16</v>
      </c>
      <c r="D52" s="8" t="s">
        <v>213</v>
      </c>
      <c r="E52" s="8" t="s">
        <v>214</v>
      </c>
      <c r="F52" s="6" t="s">
        <v>19</v>
      </c>
      <c r="G52" s="7" t="s">
        <v>20</v>
      </c>
      <c r="H52" s="8" t="s">
        <v>215</v>
      </c>
      <c r="I52" s="8"/>
      <c r="J52" s="8"/>
      <c r="K52" s="8"/>
      <c r="L52" s="8"/>
    </row>
    <row r="53" customFormat="false" ht="23.85" hidden="false" customHeight="false" outlineLevel="0" collapsed="false">
      <c r="A53" s="4" t="s">
        <v>216</v>
      </c>
      <c r="B53" s="5" t="s">
        <v>175</v>
      </c>
      <c r="C53" s="4" t="s">
        <v>16</v>
      </c>
      <c r="D53" s="5" t="s">
        <v>217</v>
      </c>
      <c r="E53" s="5" t="s">
        <v>218</v>
      </c>
      <c r="F53" s="6" t="s">
        <v>19</v>
      </c>
      <c r="G53" s="4" t="s">
        <v>33</v>
      </c>
      <c r="H53" s="5" t="s">
        <v>219</v>
      </c>
      <c r="I53" s="5"/>
      <c r="J53" s="5"/>
      <c r="K53" s="5"/>
      <c r="L53" s="5"/>
    </row>
    <row r="54" customFormat="false" ht="23.85" hidden="false" customHeight="false" outlineLevel="0" collapsed="false">
      <c r="A54" s="7" t="s">
        <v>220</v>
      </c>
      <c r="B54" s="8" t="s">
        <v>175</v>
      </c>
      <c r="C54" s="7" t="s">
        <v>16</v>
      </c>
      <c r="D54" s="8" t="s">
        <v>221</v>
      </c>
      <c r="E54" s="8" t="s">
        <v>222</v>
      </c>
      <c r="F54" s="6" t="s">
        <v>19</v>
      </c>
      <c r="G54" s="7" t="s">
        <v>33</v>
      </c>
      <c r="H54" s="8" t="s">
        <v>223</v>
      </c>
      <c r="I54" s="8"/>
      <c r="J54" s="8"/>
      <c r="K54" s="8"/>
      <c r="L54" s="8"/>
    </row>
    <row r="55" customFormat="false" ht="23.85" hidden="false" customHeight="false" outlineLevel="0" collapsed="false">
      <c r="A55" s="4" t="s">
        <v>224</v>
      </c>
      <c r="B55" s="5" t="s">
        <v>175</v>
      </c>
      <c r="C55" s="4" t="s">
        <v>16</v>
      </c>
      <c r="D55" s="5" t="s">
        <v>225</v>
      </c>
      <c r="E55" s="5" t="s">
        <v>226</v>
      </c>
      <c r="F55" s="6" t="s">
        <v>19</v>
      </c>
      <c r="G55" s="4" t="s">
        <v>20</v>
      </c>
      <c r="H55" s="5" t="s">
        <v>227</v>
      </c>
      <c r="I55" s="5"/>
      <c r="J55" s="5"/>
      <c r="K55" s="5"/>
      <c r="L55" s="5"/>
    </row>
    <row r="56" customFormat="false" ht="23.85" hidden="false" customHeight="false" outlineLevel="0" collapsed="false">
      <c r="A56" s="7" t="s">
        <v>228</v>
      </c>
      <c r="B56" s="8" t="s">
        <v>175</v>
      </c>
      <c r="C56" s="7" t="s">
        <v>16</v>
      </c>
      <c r="D56" s="8" t="s">
        <v>229</v>
      </c>
      <c r="E56" s="8" t="s">
        <v>230</v>
      </c>
      <c r="F56" s="9" t="s">
        <v>50</v>
      </c>
      <c r="G56" s="7" t="s">
        <v>20</v>
      </c>
      <c r="H56" s="8" t="s">
        <v>231</v>
      </c>
      <c r="I56" s="8"/>
      <c r="J56" s="8"/>
      <c r="K56" s="8"/>
      <c r="L56" s="8"/>
    </row>
    <row r="57" customFormat="false" ht="23.85" hidden="false" customHeight="false" outlineLevel="0" collapsed="false">
      <c r="A57" s="4" t="s">
        <v>232</v>
      </c>
      <c r="B57" s="5" t="s">
        <v>175</v>
      </c>
      <c r="C57" s="4" t="s">
        <v>16</v>
      </c>
      <c r="D57" s="5" t="s">
        <v>233</v>
      </c>
      <c r="E57" s="5" t="s">
        <v>234</v>
      </c>
      <c r="F57" s="6" t="s">
        <v>19</v>
      </c>
      <c r="G57" s="4" t="s">
        <v>33</v>
      </c>
      <c r="H57" s="5" t="s">
        <v>235</v>
      </c>
      <c r="I57" s="5"/>
      <c r="J57" s="5"/>
      <c r="K57" s="5"/>
      <c r="L57" s="5"/>
    </row>
    <row r="58" customFormat="false" ht="23.85" hidden="false" customHeight="false" outlineLevel="0" collapsed="false">
      <c r="A58" s="7" t="s">
        <v>236</v>
      </c>
      <c r="B58" s="8" t="s">
        <v>175</v>
      </c>
      <c r="C58" s="7" t="s">
        <v>16</v>
      </c>
      <c r="D58" s="8" t="s">
        <v>237</v>
      </c>
      <c r="E58" s="8" t="s">
        <v>238</v>
      </c>
      <c r="F58" s="6" t="s">
        <v>19</v>
      </c>
      <c r="G58" s="7" t="s">
        <v>33</v>
      </c>
      <c r="H58" s="8" t="s">
        <v>239</v>
      </c>
      <c r="I58" s="8"/>
      <c r="J58" s="8"/>
      <c r="K58" s="8"/>
      <c r="L58" s="8"/>
    </row>
    <row r="59" customFormat="false" ht="23.85" hidden="false" customHeight="false" outlineLevel="0" collapsed="false">
      <c r="A59" s="4" t="s">
        <v>240</v>
      </c>
      <c r="B59" s="5" t="s">
        <v>175</v>
      </c>
      <c r="C59" s="4" t="s">
        <v>16</v>
      </c>
      <c r="D59" s="5" t="s">
        <v>241</v>
      </c>
      <c r="E59" s="5" t="s">
        <v>242</v>
      </c>
      <c r="F59" s="9" t="s">
        <v>50</v>
      </c>
      <c r="G59" s="4" t="s">
        <v>186</v>
      </c>
      <c r="H59" s="5" t="s">
        <v>243</v>
      </c>
      <c r="I59" s="5"/>
      <c r="J59" s="5"/>
      <c r="K59" s="5"/>
      <c r="L59" s="5"/>
    </row>
    <row r="60" customFormat="false" ht="23.85" hidden="false" customHeight="false" outlineLevel="0" collapsed="false">
      <c r="A60" s="7" t="s">
        <v>244</v>
      </c>
      <c r="B60" s="8" t="s">
        <v>175</v>
      </c>
      <c r="C60" s="7" t="s">
        <v>16</v>
      </c>
      <c r="D60" s="8" t="s">
        <v>245</v>
      </c>
      <c r="E60" s="8" t="s">
        <v>246</v>
      </c>
      <c r="F60" s="9" t="s">
        <v>50</v>
      </c>
      <c r="G60" s="7" t="s">
        <v>33</v>
      </c>
      <c r="H60" s="8" t="s">
        <v>247</v>
      </c>
      <c r="I60" s="8"/>
      <c r="J60" s="8"/>
      <c r="K60" s="8"/>
      <c r="L60" s="8"/>
    </row>
    <row r="61" customFormat="false" ht="23.85" hidden="false" customHeight="false" outlineLevel="0" collapsed="false">
      <c r="A61" s="4" t="s">
        <v>248</v>
      </c>
      <c r="B61" s="5" t="s">
        <v>249</v>
      </c>
      <c r="C61" s="4" t="s">
        <v>16</v>
      </c>
      <c r="D61" s="5" t="s">
        <v>250</v>
      </c>
      <c r="E61" s="5" t="s">
        <v>251</v>
      </c>
      <c r="F61" s="6" t="s">
        <v>19</v>
      </c>
      <c r="G61" s="4" t="s">
        <v>20</v>
      </c>
      <c r="H61" s="5" t="s">
        <v>252</v>
      </c>
      <c r="I61" s="5"/>
      <c r="J61" s="5"/>
      <c r="K61" s="5"/>
      <c r="L61" s="5"/>
    </row>
    <row r="62" customFormat="false" ht="23.85" hidden="false" customHeight="false" outlineLevel="0" collapsed="false">
      <c r="A62" s="7" t="s">
        <v>253</v>
      </c>
      <c r="B62" s="8" t="s">
        <v>249</v>
      </c>
      <c r="C62" s="7" t="s">
        <v>16</v>
      </c>
      <c r="D62" s="8" t="s">
        <v>254</v>
      </c>
      <c r="E62" s="8" t="s">
        <v>255</v>
      </c>
      <c r="F62" s="6" t="s">
        <v>19</v>
      </c>
      <c r="G62" s="7" t="s">
        <v>33</v>
      </c>
      <c r="H62" s="8" t="s">
        <v>256</v>
      </c>
      <c r="I62" s="8"/>
      <c r="J62" s="8"/>
      <c r="K62" s="8"/>
      <c r="L62" s="8"/>
    </row>
    <row r="63" customFormat="false" ht="23.85" hidden="false" customHeight="false" outlineLevel="0" collapsed="false">
      <c r="A63" s="4" t="s">
        <v>257</v>
      </c>
      <c r="B63" s="5" t="s">
        <v>249</v>
      </c>
      <c r="C63" s="4" t="s">
        <v>16</v>
      </c>
      <c r="D63" s="5" t="s">
        <v>258</v>
      </c>
      <c r="E63" s="5" t="s">
        <v>259</v>
      </c>
      <c r="F63" s="6" t="s">
        <v>19</v>
      </c>
      <c r="G63" s="4" t="s">
        <v>20</v>
      </c>
      <c r="H63" s="5" t="s">
        <v>260</v>
      </c>
      <c r="I63" s="5"/>
      <c r="J63" s="5"/>
      <c r="K63" s="5"/>
      <c r="L63" s="5"/>
    </row>
    <row r="64" customFormat="false" ht="23.85" hidden="false" customHeight="false" outlineLevel="0" collapsed="false">
      <c r="A64" s="7" t="s">
        <v>261</v>
      </c>
      <c r="B64" s="8" t="s">
        <v>249</v>
      </c>
      <c r="C64" s="7" t="s">
        <v>16</v>
      </c>
      <c r="D64" s="8" t="s">
        <v>262</v>
      </c>
      <c r="E64" s="8" t="s">
        <v>263</v>
      </c>
      <c r="F64" s="6" t="s">
        <v>19</v>
      </c>
      <c r="G64" s="7" t="s">
        <v>20</v>
      </c>
      <c r="H64" s="8" t="s">
        <v>264</v>
      </c>
      <c r="I64" s="8"/>
      <c r="J64" s="8"/>
      <c r="K64" s="8"/>
      <c r="L64" s="8"/>
    </row>
    <row r="65" customFormat="false" ht="23.85" hidden="false" customHeight="false" outlineLevel="0" collapsed="false">
      <c r="A65" s="4" t="s">
        <v>265</v>
      </c>
      <c r="B65" s="5" t="s">
        <v>249</v>
      </c>
      <c r="C65" s="4" t="s">
        <v>16</v>
      </c>
      <c r="D65" s="5" t="s">
        <v>266</v>
      </c>
      <c r="E65" s="5" t="s">
        <v>267</v>
      </c>
      <c r="F65" s="9" t="s">
        <v>50</v>
      </c>
      <c r="G65" s="4" t="s">
        <v>20</v>
      </c>
      <c r="H65" s="5" t="s">
        <v>268</v>
      </c>
      <c r="I65" s="5"/>
      <c r="J65" s="5"/>
      <c r="K65" s="5"/>
      <c r="L65" s="5"/>
    </row>
    <row r="66" customFormat="false" ht="23.85" hidden="false" customHeight="false" outlineLevel="0" collapsed="false">
      <c r="A66" s="7" t="s">
        <v>269</v>
      </c>
      <c r="B66" s="8" t="s">
        <v>249</v>
      </c>
      <c r="C66" s="7" t="s">
        <v>16</v>
      </c>
      <c r="D66" s="8" t="s">
        <v>270</v>
      </c>
      <c r="E66" s="8" t="s">
        <v>271</v>
      </c>
      <c r="F66" s="9" t="s">
        <v>50</v>
      </c>
      <c r="G66" s="7" t="s">
        <v>33</v>
      </c>
      <c r="H66" s="8" t="s">
        <v>272</v>
      </c>
      <c r="I66" s="8"/>
      <c r="J66" s="8"/>
      <c r="K66" s="8"/>
      <c r="L66" s="8"/>
    </row>
    <row r="67" customFormat="false" ht="23.85" hidden="false" customHeight="false" outlineLevel="0" collapsed="false">
      <c r="A67" s="4" t="s">
        <v>273</v>
      </c>
      <c r="B67" s="5" t="s">
        <v>249</v>
      </c>
      <c r="C67" s="4" t="s">
        <v>16</v>
      </c>
      <c r="D67" s="5" t="s">
        <v>274</v>
      </c>
      <c r="E67" s="5" t="s">
        <v>275</v>
      </c>
      <c r="F67" s="9" t="s">
        <v>50</v>
      </c>
      <c r="G67" s="4" t="s">
        <v>20</v>
      </c>
      <c r="H67" s="5" t="s">
        <v>276</v>
      </c>
      <c r="I67" s="5"/>
      <c r="J67" s="5"/>
      <c r="K67" s="5"/>
      <c r="L67" s="5"/>
    </row>
    <row r="68" customFormat="false" ht="23.85" hidden="false" customHeight="false" outlineLevel="0" collapsed="false">
      <c r="A68" s="7" t="s">
        <v>277</v>
      </c>
      <c r="B68" s="8" t="s">
        <v>249</v>
      </c>
      <c r="C68" s="7" t="s">
        <v>16</v>
      </c>
      <c r="D68" s="8" t="s">
        <v>278</v>
      </c>
      <c r="E68" s="8" t="s">
        <v>279</v>
      </c>
      <c r="F68" s="9" t="s">
        <v>50</v>
      </c>
      <c r="G68" s="7" t="s">
        <v>33</v>
      </c>
      <c r="H68" s="8" t="s">
        <v>280</v>
      </c>
      <c r="I68" s="8"/>
      <c r="J68" s="8"/>
      <c r="K68" s="8"/>
      <c r="L68" s="8"/>
    </row>
    <row r="69" customFormat="false" ht="15" hidden="false" customHeight="false" outlineLevel="0" collapsed="false">
      <c r="A69" s="4" t="s">
        <v>281</v>
      </c>
      <c r="B69" s="5" t="s">
        <v>249</v>
      </c>
      <c r="C69" s="4" t="s">
        <v>16</v>
      </c>
      <c r="D69" s="5" t="s">
        <v>282</v>
      </c>
      <c r="E69" s="5" t="s">
        <v>283</v>
      </c>
      <c r="F69" s="6" t="s">
        <v>19</v>
      </c>
      <c r="G69" s="4" t="s">
        <v>20</v>
      </c>
      <c r="H69" s="5" t="s">
        <v>284</v>
      </c>
      <c r="I69" s="5"/>
      <c r="J69" s="5"/>
      <c r="K69" s="5"/>
      <c r="L69" s="5"/>
    </row>
    <row r="70" customFormat="false" ht="23.85" hidden="false" customHeight="false" outlineLevel="0" collapsed="false">
      <c r="A70" s="7" t="s">
        <v>285</v>
      </c>
      <c r="B70" s="8" t="s">
        <v>249</v>
      </c>
      <c r="C70" s="7" t="s">
        <v>16</v>
      </c>
      <c r="D70" s="8" t="s">
        <v>286</v>
      </c>
      <c r="E70" s="8" t="s">
        <v>287</v>
      </c>
      <c r="F70" s="9" t="s">
        <v>50</v>
      </c>
      <c r="G70" s="7" t="s">
        <v>33</v>
      </c>
      <c r="H70" s="8" t="s">
        <v>288</v>
      </c>
      <c r="I70" s="8"/>
      <c r="J70" s="8"/>
      <c r="K70" s="8"/>
      <c r="L70" s="8"/>
    </row>
    <row r="71" customFormat="false" ht="23.85" hidden="false" customHeight="false" outlineLevel="0" collapsed="false">
      <c r="A71" s="4" t="s">
        <v>289</v>
      </c>
      <c r="B71" s="5" t="s">
        <v>249</v>
      </c>
      <c r="C71" s="4" t="s">
        <v>16</v>
      </c>
      <c r="D71" s="5" t="s">
        <v>290</v>
      </c>
      <c r="E71" s="5" t="s">
        <v>291</v>
      </c>
      <c r="F71" s="10" t="s">
        <v>292</v>
      </c>
      <c r="G71" s="4" t="s">
        <v>33</v>
      </c>
      <c r="H71" s="5" t="s">
        <v>293</v>
      </c>
      <c r="I71" s="5"/>
      <c r="J71" s="5"/>
      <c r="K71" s="5"/>
      <c r="L71" s="5"/>
    </row>
    <row r="72" customFormat="false" ht="23.85" hidden="false" customHeight="false" outlineLevel="0" collapsed="false">
      <c r="A72" s="7" t="s">
        <v>294</v>
      </c>
      <c r="B72" s="8" t="s">
        <v>249</v>
      </c>
      <c r="C72" s="7" t="s">
        <v>16</v>
      </c>
      <c r="D72" s="8" t="s">
        <v>295</v>
      </c>
      <c r="E72" s="8" t="s">
        <v>296</v>
      </c>
      <c r="F72" s="6" t="s">
        <v>19</v>
      </c>
      <c r="G72" s="7" t="s">
        <v>33</v>
      </c>
      <c r="H72" s="8" t="s">
        <v>297</v>
      </c>
      <c r="I72" s="8"/>
      <c r="J72" s="8"/>
      <c r="K72" s="8"/>
      <c r="L72" s="8"/>
    </row>
    <row r="73" customFormat="false" ht="15" hidden="false" customHeight="false" outlineLevel="0" collapsed="false">
      <c r="A73" s="4" t="s">
        <v>298</v>
      </c>
      <c r="B73" s="5" t="s">
        <v>249</v>
      </c>
      <c r="C73" s="4" t="s">
        <v>16</v>
      </c>
      <c r="D73" s="5" t="s">
        <v>299</v>
      </c>
      <c r="E73" s="5" t="s">
        <v>300</v>
      </c>
      <c r="F73" s="6" t="s">
        <v>19</v>
      </c>
      <c r="G73" s="4" t="s">
        <v>186</v>
      </c>
      <c r="H73" s="5" t="s">
        <v>301</v>
      </c>
      <c r="I73" s="5"/>
      <c r="J73" s="5"/>
      <c r="K73" s="5"/>
      <c r="L73" s="5"/>
    </row>
    <row r="74" customFormat="false" ht="23.85" hidden="false" customHeight="false" outlineLevel="0" collapsed="false">
      <c r="A74" s="7" t="s">
        <v>302</v>
      </c>
      <c r="B74" s="8" t="s">
        <v>303</v>
      </c>
      <c r="C74" s="7" t="s">
        <v>16</v>
      </c>
      <c r="D74" s="8" t="s">
        <v>304</v>
      </c>
      <c r="E74" s="8" t="s">
        <v>305</v>
      </c>
      <c r="F74" s="6" t="s">
        <v>19</v>
      </c>
      <c r="G74" s="7" t="s">
        <v>20</v>
      </c>
      <c r="H74" s="8" t="s">
        <v>306</v>
      </c>
      <c r="I74" s="8"/>
      <c r="J74" s="8"/>
      <c r="K74" s="8"/>
      <c r="L74" s="8"/>
    </row>
    <row r="75" customFormat="false" ht="23.85" hidden="false" customHeight="false" outlineLevel="0" collapsed="false">
      <c r="A75" s="4" t="s">
        <v>307</v>
      </c>
      <c r="B75" s="5" t="s">
        <v>303</v>
      </c>
      <c r="C75" s="4" t="s">
        <v>16</v>
      </c>
      <c r="D75" s="5" t="s">
        <v>308</v>
      </c>
      <c r="E75" s="5" t="s">
        <v>309</v>
      </c>
      <c r="F75" s="9" t="s">
        <v>50</v>
      </c>
      <c r="G75" s="4" t="s">
        <v>20</v>
      </c>
      <c r="H75" s="5" t="s">
        <v>310</v>
      </c>
      <c r="I75" s="5"/>
      <c r="J75" s="5"/>
      <c r="K75" s="5"/>
      <c r="L75" s="5"/>
    </row>
    <row r="76" customFormat="false" ht="23.85" hidden="false" customHeight="false" outlineLevel="0" collapsed="false">
      <c r="A76" s="7" t="s">
        <v>311</v>
      </c>
      <c r="B76" s="8" t="s">
        <v>303</v>
      </c>
      <c r="C76" s="7" t="s">
        <v>16</v>
      </c>
      <c r="D76" s="8" t="s">
        <v>312</v>
      </c>
      <c r="E76" s="8" t="s">
        <v>313</v>
      </c>
      <c r="F76" s="6" t="s">
        <v>19</v>
      </c>
      <c r="G76" s="7" t="s">
        <v>20</v>
      </c>
      <c r="H76" s="8" t="s">
        <v>314</v>
      </c>
      <c r="I76" s="8"/>
      <c r="J76" s="8"/>
      <c r="K76" s="8"/>
      <c r="L76" s="8"/>
    </row>
    <row r="77" customFormat="false" ht="23.85" hidden="false" customHeight="false" outlineLevel="0" collapsed="false">
      <c r="A77" s="4" t="s">
        <v>315</v>
      </c>
      <c r="B77" s="5" t="s">
        <v>303</v>
      </c>
      <c r="C77" s="4" t="s">
        <v>16</v>
      </c>
      <c r="D77" s="5" t="s">
        <v>316</v>
      </c>
      <c r="E77" s="5" t="s">
        <v>317</v>
      </c>
      <c r="F77" s="9" t="s">
        <v>50</v>
      </c>
      <c r="G77" s="4" t="s">
        <v>33</v>
      </c>
      <c r="H77" s="5" t="s">
        <v>318</v>
      </c>
      <c r="I77" s="5"/>
      <c r="J77" s="5"/>
      <c r="K77" s="5"/>
      <c r="L77" s="5"/>
    </row>
    <row r="78" customFormat="false" ht="15" hidden="false" customHeight="false" outlineLevel="0" collapsed="false">
      <c r="A78" s="7" t="s">
        <v>319</v>
      </c>
      <c r="B78" s="8" t="s">
        <v>303</v>
      </c>
      <c r="C78" s="7" t="s">
        <v>16</v>
      </c>
      <c r="D78" s="8" t="s">
        <v>320</v>
      </c>
      <c r="E78" s="8" t="s">
        <v>321</v>
      </c>
      <c r="F78" s="9" t="s">
        <v>50</v>
      </c>
      <c r="G78" s="7" t="s">
        <v>33</v>
      </c>
      <c r="H78" s="8" t="s">
        <v>322</v>
      </c>
      <c r="I78" s="8"/>
      <c r="J78" s="8"/>
      <c r="K78" s="8"/>
      <c r="L78" s="8"/>
    </row>
    <row r="79" customFormat="false" ht="15" hidden="false" customHeight="false" outlineLevel="0" collapsed="false">
      <c r="A79" s="4" t="s">
        <v>323</v>
      </c>
      <c r="B79" s="5" t="s">
        <v>303</v>
      </c>
      <c r="C79" s="4" t="s">
        <v>16</v>
      </c>
      <c r="D79" s="5" t="s">
        <v>324</v>
      </c>
      <c r="E79" s="5" t="s">
        <v>325</v>
      </c>
      <c r="F79" s="6" t="s">
        <v>19</v>
      </c>
      <c r="G79" s="4" t="s">
        <v>33</v>
      </c>
      <c r="H79" s="5" t="s">
        <v>326</v>
      </c>
      <c r="I79" s="5"/>
      <c r="J79" s="5"/>
      <c r="K79" s="5"/>
      <c r="L79" s="5"/>
    </row>
    <row r="80" customFormat="false" ht="23.85" hidden="false" customHeight="false" outlineLevel="0" collapsed="false">
      <c r="A80" s="7" t="s">
        <v>327</v>
      </c>
      <c r="B80" s="8" t="s">
        <v>328</v>
      </c>
      <c r="C80" s="7" t="s">
        <v>16</v>
      </c>
      <c r="D80" s="8" t="s">
        <v>329</v>
      </c>
      <c r="E80" s="8" t="s">
        <v>330</v>
      </c>
      <c r="F80" s="6" t="s">
        <v>19</v>
      </c>
      <c r="G80" s="7" t="s">
        <v>20</v>
      </c>
      <c r="H80" s="8" t="s">
        <v>331</v>
      </c>
      <c r="I80" s="8"/>
      <c r="J80" s="8"/>
      <c r="K80" s="8"/>
      <c r="L80" s="8"/>
    </row>
    <row r="81" customFormat="false" ht="23.85" hidden="false" customHeight="false" outlineLevel="0" collapsed="false">
      <c r="A81" s="4" t="s">
        <v>332</v>
      </c>
      <c r="B81" s="5" t="s">
        <v>328</v>
      </c>
      <c r="C81" s="4" t="s">
        <v>16</v>
      </c>
      <c r="D81" s="5" t="s">
        <v>333</v>
      </c>
      <c r="E81" s="5" t="s">
        <v>334</v>
      </c>
      <c r="F81" s="9" t="s">
        <v>50</v>
      </c>
      <c r="G81" s="4" t="s">
        <v>20</v>
      </c>
      <c r="H81" s="5" t="s">
        <v>335</v>
      </c>
      <c r="I81" s="5"/>
      <c r="J81" s="5"/>
      <c r="K81" s="5"/>
      <c r="L81" s="5"/>
    </row>
    <row r="82" customFormat="false" ht="23.85" hidden="false" customHeight="false" outlineLevel="0" collapsed="false">
      <c r="A82" s="7" t="s">
        <v>336</v>
      </c>
      <c r="B82" s="8" t="s">
        <v>328</v>
      </c>
      <c r="C82" s="7" t="s">
        <v>16</v>
      </c>
      <c r="D82" s="8" t="s">
        <v>337</v>
      </c>
      <c r="E82" s="8" t="s">
        <v>338</v>
      </c>
      <c r="F82" s="9" t="s">
        <v>50</v>
      </c>
      <c r="G82" s="7" t="s">
        <v>20</v>
      </c>
      <c r="H82" s="8" t="s">
        <v>339</v>
      </c>
      <c r="I82" s="8"/>
      <c r="J82" s="8"/>
      <c r="K82" s="8"/>
      <c r="L82" s="8"/>
    </row>
    <row r="83" customFormat="false" ht="23.85" hidden="false" customHeight="false" outlineLevel="0" collapsed="false">
      <c r="A83" s="4" t="s">
        <v>340</v>
      </c>
      <c r="B83" s="5" t="s">
        <v>328</v>
      </c>
      <c r="C83" s="4" t="s">
        <v>16</v>
      </c>
      <c r="D83" s="5" t="s">
        <v>341</v>
      </c>
      <c r="E83" s="5" t="s">
        <v>342</v>
      </c>
      <c r="F83" s="6" t="s">
        <v>19</v>
      </c>
      <c r="G83" s="4" t="s">
        <v>20</v>
      </c>
      <c r="H83" s="5" t="s">
        <v>343</v>
      </c>
      <c r="I83" s="5"/>
      <c r="J83" s="5"/>
      <c r="K83" s="5"/>
      <c r="L83" s="5"/>
    </row>
    <row r="84" customFormat="false" ht="15" hidden="false" customHeight="false" outlineLevel="0" collapsed="false">
      <c r="A84" s="7" t="s">
        <v>344</v>
      </c>
      <c r="B84" s="8" t="s">
        <v>328</v>
      </c>
      <c r="C84" s="7" t="s">
        <v>16</v>
      </c>
      <c r="D84" s="8" t="s">
        <v>345</v>
      </c>
      <c r="E84" s="8" t="s">
        <v>346</v>
      </c>
      <c r="F84" s="6" t="s">
        <v>19</v>
      </c>
      <c r="G84" s="7" t="s">
        <v>33</v>
      </c>
      <c r="H84" s="8" t="s">
        <v>347</v>
      </c>
      <c r="I84" s="8"/>
      <c r="J84" s="8"/>
      <c r="K84" s="8"/>
      <c r="L84" s="8"/>
    </row>
    <row r="85" customFormat="false" ht="23.85" hidden="false" customHeight="false" outlineLevel="0" collapsed="false">
      <c r="A85" s="4" t="s">
        <v>348</v>
      </c>
      <c r="B85" s="5" t="s">
        <v>328</v>
      </c>
      <c r="C85" s="4" t="s">
        <v>16</v>
      </c>
      <c r="D85" s="5" t="s">
        <v>349</v>
      </c>
      <c r="E85" s="5" t="s">
        <v>350</v>
      </c>
      <c r="F85" s="10" t="s">
        <v>292</v>
      </c>
      <c r="G85" s="4" t="s">
        <v>33</v>
      </c>
      <c r="H85" s="5" t="s">
        <v>351</v>
      </c>
      <c r="I85" s="5"/>
      <c r="J85" s="5"/>
      <c r="K85" s="5"/>
      <c r="L85" s="5"/>
    </row>
    <row r="86" customFormat="false" ht="23.85" hidden="false" customHeight="false" outlineLevel="0" collapsed="false">
      <c r="A86" s="7" t="s">
        <v>352</v>
      </c>
      <c r="B86" s="8" t="s">
        <v>328</v>
      </c>
      <c r="C86" s="7" t="s">
        <v>16</v>
      </c>
      <c r="D86" s="8" t="s">
        <v>353</v>
      </c>
      <c r="E86" s="8" t="s">
        <v>354</v>
      </c>
      <c r="F86" s="6" t="s">
        <v>19</v>
      </c>
      <c r="G86" s="7" t="s">
        <v>33</v>
      </c>
      <c r="H86" s="8" t="s">
        <v>355</v>
      </c>
      <c r="I86" s="8"/>
      <c r="J86" s="8"/>
      <c r="K86" s="8"/>
      <c r="L86" s="8"/>
    </row>
    <row r="87" customFormat="false" ht="23.85" hidden="false" customHeight="false" outlineLevel="0" collapsed="false">
      <c r="A87" s="4" t="s">
        <v>356</v>
      </c>
      <c r="B87" s="5" t="s">
        <v>328</v>
      </c>
      <c r="C87" s="4" t="s">
        <v>16</v>
      </c>
      <c r="D87" s="5" t="s">
        <v>357</v>
      </c>
      <c r="E87" s="5" t="s">
        <v>358</v>
      </c>
      <c r="F87" s="9" t="s">
        <v>50</v>
      </c>
      <c r="G87" s="4" t="s">
        <v>33</v>
      </c>
      <c r="H87" s="5" t="s">
        <v>359</v>
      </c>
      <c r="I87" s="5"/>
      <c r="J87" s="5"/>
      <c r="K87" s="5"/>
      <c r="L87" s="5"/>
    </row>
    <row r="88" customFormat="false" ht="23.85" hidden="false" customHeight="false" outlineLevel="0" collapsed="false">
      <c r="A88" s="7" t="s">
        <v>360</v>
      </c>
      <c r="B88" s="8" t="s">
        <v>361</v>
      </c>
      <c r="C88" s="7" t="s">
        <v>16</v>
      </c>
      <c r="D88" s="8" t="s">
        <v>362</v>
      </c>
      <c r="E88" s="8" t="s">
        <v>363</v>
      </c>
      <c r="F88" s="6" t="s">
        <v>19</v>
      </c>
      <c r="G88" s="7" t="s">
        <v>20</v>
      </c>
      <c r="H88" s="8" t="s">
        <v>364</v>
      </c>
      <c r="I88" s="8"/>
      <c r="J88" s="8"/>
      <c r="K88" s="8"/>
      <c r="L88" s="8"/>
    </row>
    <row r="89" customFormat="false" ht="23.85" hidden="false" customHeight="false" outlineLevel="0" collapsed="false">
      <c r="A89" s="4" t="s">
        <v>365</v>
      </c>
      <c r="B89" s="5" t="s">
        <v>361</v>
      </c>
      <c r="C89" s="4" t="s">
        <v>16</v>
      </c>
      <c r="D89" s="5" t="s">
        <v>366</v>
      </c>
      <c r="E89" s="5" t="s">
        <v>367</v>
      </c>
      <c r="F89" s="6" t="s">
        <v>19</v>
      </c>
      <c r="G89" s="4" t="s">
        <v>33</v>
      </c>
      <c r="H89" s="5" t="s">
        <v>368</v>
      </c>
      <c r="I89" s="5"/>
      <c r="J89" s="5"/>
      <c r="K89" s="5"/>
      <c r="L89" s="5"/>
    </row>
    <row r="90" customFormat="false" ht="15" hidden="false" customHeight="false" outlineLevel="0" collapsed="false">
      <c r="A90" s="7" t="s">
        <v>369</v>
      </c>
      <c r="B90" s="8" t="s">
        <v>361</v>
      </c>
      <c r="C90" s="7" t="s">
        <v>16</v>
      </c>
      <c r="D90" s="8" t="s">
        <v>370</v>
      </c>
      <c r="E90" s="8" t="s">
        <v>371</v>
      </c>
      <c r="F90" s="9" t="s">
        <v>50</v>
      </c>
      <c r="G90" s="7" t="s">
        <v>20</v>
      </c>
      <c r="H90" s="8" t="s">
        <v>372</v>
      </c>
      <c r="I90" s="8"/>
      <c r="J90" s="8"/>
      <c r="K90" s="8"/>
      <c r="L90" s="8"/>
    </row>
    <row r="91" customFormat="false" ht="23.85" hidden="false" customHeight="false" outlineLevel="0" collapsed="false">
      <c r="A91" s="4" t="s">
        <v>373</v>
      </c>
      <c r="B91" s="5" t="s">
        <v>361</v>
      </c>
      <c r="C91" s="4" t="s">
        <v>16</v>
      </c>
      <c r="D91" s="5" t="s">
        <v>374</v>
      </c>
      <c r="E91" s="5" t="s">
        <v>375</v>
      </c>
      <c r="F91" s="9" t="s">
        <v>50</v>
      </c>
      <c r="G91" s="4" t="s">
        <v>33</v>
      </c>
      <c r="H91" s="5" t="s">
        <v>376</v>
      </c>
      <c r="I91" s="5"/>
      <c r="J91" s="5"/>
      <c r="K91" s="5"/>
      <c r="L91" s="5"/>
    </row>
    <row r="92" customFormat="false" ht="15" hidden="false" customHeight="false" outlineLevel="0" collapsed="false">
      <c r="A92" s="7" t="s">
        <v>377</v>
      </c>
      <c r="B92" s="8" t="s">
        <v>361</v>
      </c>
      <c r="C92" s="7" t="s">
        <v>16</v>
      </c>
      <c r="D92" s="8" t="s">
        <v>378</v>
      </c>
      <c r="E92" s="8" t="s">
        <v>379</v>
      </c>
      <c r="F92" s="9" t="s">
        <v>50</v>
      </c>
      <c r="G92" s="7" t="s">
        <v>33</v>
      </c>
      <c r="H92" s="8" t="s">
        <v>380</v>
      </c>
      <c r="I92" s="8"/>
      <c r="J92" s="8"/>
      <c r="K92" s="8"/>
      <c r="L92" s="8"/>
    </row>
    <row r="93" customFormat="false" ht="15" hidden="false" customHeight="false" outlineLevel="0" collapsed="false">
      <c r="A93" s="4" t="s">
        <v>381</v>
      </c>
      <c r="B93" s="5" t="s">
        <v>382</v>
      </c>
      <c r="C93" s="4" t="s">
        <v>16</v>
      </c>
      <c r="D93" s="5" t="s">
        <v>383</v>
      </c>
      <c r="E93" s="5" t="s">
        <v>384</v>
      </c>
      <c r="F93" s="6" t="s">
        <v>19</v>
      </c>
      <c r="G93" s="4" t="s">
        <v>20</v>
      </c>
      <c r="H93" s="5" t="s">
        <v>385</v>
      </c>
      <c r="I93" s="5"/>
      <c r="J93" s="5"/>
      <c r="K93" s="5"/>
      <c r="L93" s="5"/>
    </row>
    <row r="94" customFormat="false" ht="23.85" hidden="false" customHeight="false" outlineLevel="0" collapsed="false">
      <c r="A94" s="7" t="s">
        <v>386</v>
      </c>
      <c r="B94" s="8" t="s">
        <v>382</v>
      </c>
      <c r="C94" s="7" t="s">
        <v>16</v>
      </c>
      <c r="D94" s="8" t="s">
        <v>387</v>
      </c>
      <c r="E94" s="8" t="s">
        <v>388</v>
      </c>
      <c r="F94" s="6" t="s">
        <v>19</v>
      </c>
      <c r="G94" s="7" t="s">
        <v>33</v>
      </c>
      <c r="H94" s="8" t="s">
        <v>389</v>
      </c>
      <c r="I94" s="8"/>
      <c r="J94" s="8"/>
      <c r="K94" s="8"/>
      <c r="L94" s="8"/>
    </row>
    <row r="95" customFormat="false" ht="23.85" hidden="false" customHeight="false" outlineLevel="0" collapsed="false">
      <c r="A95" s="4" t="s">
        <v>390</v>
      </c>
      <c r="B95" s="5" t="s">
        <v>382</v>
      </c>
      <c r="C95" s="4" t="s">
        <v>16</v>
      </c>
      <c r="D95" s="5" t="s">
        <v>391</v>
      </c>
      <c r="E95" s="5" t="s">
        <v>392</v>
      </c>
      <c r="F95" s="6" t="s">
        <v>19</v>
      </c>
      <c r="G95" s="4" t="s">
        <v>20</v>
      </c>
      <c r="H95" s="5" t="s">
        <v>393</v>
      </c>
      <c r="I95" s="5"/>
      <c r="J95" s="5"/>
      <c r="K95" s="5"/>
      <c r="L95" s="5"/>
    </row>
    <row r="96" customFormat="false" ht="23.85" hidden="false" customHeight="false" outlineLevel="0" collapsed="false">
      <c r="A96" s="7" t="s">
        <v>394</v>
      </c>
      <c r="B96" s="8" t="s">
        <v>382</v>
      </c>
      <c r="C96" s="7" t="s">
        <v>16</v>
      </c>
      <c r="D96" s="8" t="s">
        <v>395</v>
      </c>
      <c r="E96" s="8" t="s">
        <v>396</v>
      </c>
      <c r="F96" s="6" t="s">
        <v>19</v>
      </c>
      <c r="G96" s="7" t="s">
        <v>33</v>
      </c>
      <c r="H96" s="8" t="s">
        <v>397</v>
      </c>
      <c r="I96" s="8"/>
      <c r="J96" s="8"/>
      <c r="K96" s="8"/>
      <c r="L96" s="8"/>
    </row>
    <row r="97" customFormat="false" ht="23.85" hidden="false" customHeight="false" outlineLevel="0" collapsed="false">
      <c r="A97" s="4" t="s">
        <v>398</v>
      </c>
      <c r="B97" s="5" t="s">
        <v>382</v>
      </c>
      <c r="C97" s="4" t="s">
        <v>16</v>
      </c>
      <c r="D97" s="5" t="s">
        <v>399</v>
      </c>
      <c r="E97" s="5" t="s">
        <v>400</v>
      </c>
      <c r="F97" s="9" t="s">
        <v>50</v>
      </c>
      <c r="G97" s="4" t="s">
        <v>33</v>
      </c>
      <c r="H97" s="5" t="s">
        <v>401</v>
      </c>
      <c r="I97" s="5"/>
      <c r="J97" s="5"/>
      <c r="K97" s="5"/>
      <c r="L97" s="5"/>
    </row>
    <row r="98" customFormat="false" ht="23.85" hidden="false" customHeight="false" outlineLevel="0" collapsed="false">
      <c r="A98" s="7" t="s">
        <v>402</v>
      </c>
      <c r="B98" s="8" t="s">
        <v>382</v>
      </c>
      <c r="C98" s="7" t="s">
        <v>16</v>
      </c>
      <c r="D98" s="8" t="s">
        <v>403</v>
      </c>
      <c r="E98" s="8" t="s">
        <v>404</v>
      </c>
      <c r="F98" s="10" t="s">
        <v>292</v>
      </c>
      <c r="G98" s="7" t="s">
        <v>33</v>
      </c>
      <c r="H98" s="8" t="s">
        <v>405</v>
      </c>
      <c r="I98" s="8"/>
      <c r="J98" s="8"/>
      <c r="K98" s="8"/>
      <c r="L98" s="8"/>
    </row>
    <row r="99" customFormat="false" ht="23.85" hidden="false" customHeight="false" outlineLevel="0" collapsed="false">
      <c r="A99" s="4" t="s">
        <v>406</v>
      </c>
      <c r="B99" s="5" t="s">
        <v>382</v>
      </c>
      <c r="C99" s="4" t="s">
        <v>16</v>
      </c>
      <c r="D99" s="5" t="s">
        <v>407</v>
      </c>
      <c r="E99" s="5" t="s">
        <v>408</v>
      </c>
      <c r="F99" s="6" t="s">
        <v>19</v>
      </c>
      <c r="G99" s="4" t="s">
        <v>20</v>
      </c>
      <c r="H99" s="5" t="s">
        <v>409</v>
      </c>
      <c r="I99" s="5"/>
      <c r="J99" s="5"/>
      <c r="K99" s="5"/>
      <c r="L99" s="5"/>
    </row>
    <row r="100" customFormat="false" ht="15" hidden="false" customHeight="false" outlineLevel="0" collapsed="false">
      <c r="A100" s="7" t="s">
        <v>410</v>
      </c>
      <c r="B100" s="8" t="s">
        <v>411</v>
      </c>
      <c r="C100" s="7" t="s">
        <v>16</v>
      </c>
      <c r="D100" s="8" t="s">
        <v>412</v>
      </c>
      <c r="E100" s="8" t="s">
        <v>413</v>
      </c>
      <c r="F100" s="6" t="s">
        <v>19</v>
      </c>
      <c r="G100" s="7" t="s">
        <v>33</v>
      </c>
      <c r="H100" s="8" t="s">
        <v>414</v>
      </c>
      <c r="I100" s="8"/>
      <c r="J100" s="8"/>
      <c r="K100" s="8"/>
      <c r="L100" s="8"/>
    </row>
    <row r="101" customFormat="false" ht="23.85" hidden="false" customHeight="false" outlineLevel="0" collapsed="false">
      <c r="A101" s="4" t="s">
        <v>415</v>
      </c>
      <c r="B101" s="5" t="s">
        <v>411</v>
      </c>
      <c r="C101" s="4" t="s">
        <v>16</v>
      </c>
      <c r="D101" s="5" t="s">
        <v>416</v>
      </c>
      <c r="E101" s="5" t="s">
        <v>417</v>
      </c>
      <c r="F101" s="6" t="s">
        <v>19</v>
      </c>
      <c r="G101" s="4" t="s">
        <v>33</v>
      </c>
      <c r="H101" s="5" t="s">
        <v>418</v>
      </c>
      <c r="I101" s="5"/>
      <c r="J101" s="5"/>
      <c r="K101" s="5"/>
      <c r="L101" s="5"/>
    </row>
    <row r="102" customFormat="false" ht="15" hidden="false" customHeight="false" outlineLevel="0" collapsed="false">
      <c r="A102" s="7" t="s">
        <v>419</v>
      </c>
      <c r="B102" s="8" t="s">
        <v>411</v>
      </c>
      <c r="C102" s="7" t="s">
        <v>16</v>
      </c>
      <c r="D102" s="8" t="s">
        <v>420</v>
      </c>
      <c r="E102" s="8" t="s">
        <v>421</v>
      </c>
      <c r="F102" s="6" t="s">
        <v>19</v>
      </c>
      <c r="G102" s="7" t="s">
        <v>33</v>
      </c>
      <c r="H102" s="8" t="s">
        <v>422</v>
      </c>
      <c r="I102" s="8"/>
      <c r="J102" s="8"/>
      <c r="K102" s="8"/>
      <c r="L102" s="8"/>
    </row>
    <row r="103" customFormat="false" ht="15" hidden="false" customHeight="false" outlineLevel="0" collapsed="false">
      <c r="A103" s="4" t="s">
        <v>423</v>
      </c>
      <c r="B103" s="5" t="s">
        <v>411</v>
      </c>
      <c r="C103" s="4" t="s">
        <v>16</v>
      </c>
      <c r="D103" s="5" t="s">
        <v>424</v>
      </c>
      <c r="E103" s="5" t="s">
        <v>425</v>
      </c>
      <c r="F103" s="6" t="s">
        <v>19</v>
      </c>
      <c r="G103" s="4" t="s">
        <v>33</v>
      </c>
      <c r="H103" s="5" t="s">
        <v>426</v>
      </c>
      <c r="I103" s="5"/>
      <c r="J103" s="5"/>
      <c r="K103" s="5"/>
      <c r="L103" s="5"/>
    </row>
    <row r="104" customFormat="false" ht="23.85" hidden="false" customHeight="false" outlineLevel="0" collapsed="false">
      <c r="A104" s="7" t="s">
        <v>427</v>
      </c>
      <c r="B104" s="8" t="s">
        <v>411</v>
      </c>
      <c r="C104" s="7" t="s">
        <v>16</v>
      </c>
      <c r="D104" s="8" t="s">
        <v>428</v>
      </c>
      <c r="E104" s="8" t="s">
        <v>429</v>
      </c>
      <c r="F104" s="9" t="s">
        <v>50</v>
      </c>
      <c r="G104" s="7" t="s">
        <v>33</v>
      </c>
      <c r="H104" s="8" t="s">
        <v>430</v>
      </c>
      <c r="I104" s="8"/>
      <c r="J104" s="8"/>
      <c r="K104" s="8"/>
      <c r="L104" s="8"/>
    </row>
    <row r="105" customFormat="false" ht="23.85" hidden="false" customHeight="false" outlineLevel="0" collapsed="false">
      <c r="A105" s="4" t="s">
        <v>431</v>
      </c>
      <c r="B105" s="5" t="s">
        <v>411</v>
      </c>
      <c r="C105" s="4" t="s">
        <v>16</v>
      </c>
      <c r="D105" s="5" t="s">
        <v>432</v>
      </c>
      <c r="E105" s="5" t="s">
        <v>433</v>
      </c>
      <c r="F105" s="9" t="s">
        <v>50</v>
      </c>
      <c r="G105" s="4" t="s">
        <v>33</v>
      </c>
      <c r="H105" s="5" t="s">
        <v>434</v>
      </c>
      <c r="I105" s="5"/>
      <c r="J105" s="5"/>
      <c r="K105" s="5"/>
      <c r="L105" s="5"/>
    </row>
    <row r="106" customFormat="false" ht="15" hidden="false" customHeight="false" outlineLevel="0" collapsed="false">
      <c r="A106" s="7" t="s">
        <v>435</v>
      </c>
      <c r="B106" s="8" t="s">
        <v>411</v>
      </c>
      <c r="C106" s="7" t="s">
        <v>16</v>
      </c>
      <c r="D106" s="8" t="s">
        <v>436</v>
      </c>
      <c r="E106" s="8" t="s">
        <v>437</v>
      </c>
      <c r="F106" s="6" t="s">
        <v>19</v>
      </c>
      <c r="G106" s="7" t="s">
        <v>33</v>
      </c>
      <c r="H106" s="8" t="s">
        <v>438</v>
      </c>
      <c r="I106" s="8"/>
      <c r="J106" s="8"/>
      <c r="K106" s="8"/>
      <c r="L106" s="8"/>
    </row>
    <row r="107" customFormat="false" ht="15" hidden="false" customHeight="false" outlineLevel="0" collapsed="false">
      <c r="A107" s="4" t="s">
        <v>439</v>
      </c>
      <c r="B107" s="5" t="s">
        <v>411</v>
      </c>
      <c r="C107" s="4" t="s">
        <v>16</v>
      </c>
      <c r="D107" s="5" t="s">
        <v>440</v>
      </c>
      <c r="E107" s="5" t="s">
        <v>441</v>
      </c>
      <c r="F107" s="6" t="s">
        <v>19</v>
      </c>
      <c r="G107" s="4" t="s">
        <v>33</v>
      </c>
      <c r="H107" s="5" t="s">
        <v>442</v>
      </c>
      <c r="I107" s="5"/>
      <c r="J107" s="5"/>
      <c r="K107" s="5"/>
      <c r="L107" s="5"/>
    </row>
    <row r="108" customFormat="false" ht="15" hidden="false" customHeight="false" outlineLevel="0" collapsed="false">
      <c r="A108" s="7" t="s">
        <v>443</v>
      </c>
      <c r="B108" s="8" t="s">
        <v>411</v>
      </c>
      <c r="C108" s="7" t="s">
        <v>16</v>
      </c>
      <c r="D108" s="8" t="s">
        <v>444</v>
      </c>
      <c r="E108" s="8" t="s">
        <v>445</v>
      </c>
      <c r="F108" s="9" t="s">
        <v>50</v>
      </c>
      <c r="G108" s="7" t="s">
        <v>186</v>
      </c>
      <c r="H108" s="8" t="s">
        <v>446</v>
      </c>
      <c r="I108" s="8"/>
      <c r="J108" s="8"/>
      <c r="K108" s="8"/>
      <c r="L108" s="8"/>
    </row>
    <row r="109" customFormat="false" ht="23.85" hidden="false" customHeight="false" outlineLevel="0" collapsed="false">
      <c r="A109" s="4" t="s">
        <v>447</v>
      </c>
      <c r="B109" s="5" t="s">
        <v>448</v>
      </c>
      <c r="C109" s="4" t="s">
        <v>16</v>
      </c>
      <c r="D109" s="5" t="s">
        <v>449</v>
      </c>
      <c r="E109" s="5" t="s">
        <v>450</v>
      </c>
      <c r="F109" s="6" t="s">
        <v>19</v>
      </c>
      <c r="G109" s="4" t="s">
        <v>33</v>
      </c>
      <c r="H109" s="5" t="s">
        <v>451</v>
      </c>
      <c r="I109" s="5"/>
      <c r="J109" s="5"/>
      <c r="K109" s="5"/>
      <c r="L109" s="5"/>
    </row>
    <row r="110" customFormat="false" ht="23.85" hidden="false" customHeight="false" outlineLevel="0" collapsed="false">
      <c r="A110" s="7" t="s">
        <v>452</v>
      </c>
      <c r="B110" s="8" t="s">
        <v>448</v>
      </c>
      <c r="C110" s="7" t="s">
        <v>16</v>
      </c>
      <c r="D110" s="8" t="s">
        <v>453</v>
      </c>
      <c r="E110" s="8" t="s">
        <v>454</v>
      </c>
      <c r="F110" s="6" t="s">
        <v>19</v>
      </c>
      <c r="G110" s="7" t="s">
        <v>33</v>
      </c>
      <c r="H110" s="8" t="s">
        <v>455</v>
      </c>
      <c r="I110" s="8"/>
      <c r="J110" s="8"/>
      <c r="K110" s="8"/>
      <c r="L110" s="8"/>
    </row>
    <row r="111" customFormat="false" ht="23.85" hidden="false" customHeight="false" outlineLevel="0" collapsed="false">
      <c r="A111" s="4" t="s">
        <v>456</v>
      </c>
      <c r="B111" s="5" t="s">
        <v>448</v>
      </c>
      <c r="C111" s="4" t="s">
        <v>16</v>
      </c>
      <c r="D111" s="5" t="s">
        <v>457</v>
      </c>
      <c r="E111" s="5" t="s">
        <v>458</v>
      </c>
      <c r="F111" s="6" t="s">
        <v>19</v>
      </c>
      <c r="G111" s="4" t="s">
        <v>33</v>
      </c>
      <c r="H111" s="5" t="s">
        <v>459</v>
      </c>
      <c r="I111" s="5"/>
      <c r="J111" s="5"/>
      <c r="K111" s="5"/>
      <c r="L111" s="5"/>
    </row>
    <row r="112" customFormat="false" ht="15" hidden="false" customHeight="false" outlineLevel="0" collapsed="false">
      <c r="A112" s="7" t="s">
        <v>460</v>
      </c>
      <c r="B112" s="8" t="s">
        <v>448</v>
      </c>
      <c r="C112" s="7" t="s">
        <v>16</v>
      </c>
      <c r="D112" s="8" t="s">
        <v>461</v>
      </c>
      <c r="E112" s="8" t="s">
        <v>462</v>
      </c>
      <c r="F112" s="9" t="s">
        <v>50</v>
      </c>
      <c r="G112" s="7" t="s">
        <v>33</v>
      </c>
      <c r="H112" s="8" t="s">
        <v>463</v>
      </c>
      <c r="I112" s="8"/>
      <c r="J112" s="8"/>
      <c r="K112" s="8"/>
      <c r="L112" s="8"/>
    </row>
    <row r="113" customFormat="false" ht="15" hidden="false" customHeight="false" outlineLevel="0" collapsed="false">
      <c r="A113" s="4" t="s">
        <v>464</v>
      </c>
      <c r="B113" s="5" t="s">
        <v>465</v>
      </c>
      <c r="C113" s="4" t="s">
        <v>16</v>
      </c>
      <c r="D113" s="5" t="s">
        <v>466</v>
      </c>
      <c r="E113" s="5" t="s">
        <v>467</v>
      </c>
      <c r="F113" s="10" t="s">
        <v>292</v>
      </c>
      <c r="G113" s="4" t="s">
        <v>20</v>
      </c>
      <c r="H113" s="5" t="s">
        <v>468</v>
      </c>
      <c r="I113" s="5"/>
      <c r="J113" s="5"/>
      <c r="K113" s="5"/>
      <c r="L113" s="5"/>
    </row>
    <row r="114" customFormat="false" ht="23.85" hidden="false" customHeight="false" outlineLevel="0" collapsed="false">
      <c r="A114" s="7" t="s">
        <v>469</v>
      </c>
      <c r="B114" s="8" t="s">
        <v>465</v>
      </c>
      <c r="C114" s="7" t="s">
        <v>16</v>
      </c>
      <c r="D114" s="8" t="s">
        <v>470</v>
      </c>
      <c r="E114" s="8" t="s">
        <v>471</v>
      </c>
      <c r="F114" s="10" t="s">
        <v>292</v>
      </c>
      <c r="G114" s="7" t="s">
        <v>20</v>
      </c>
      <c r="H114" s="8" t="s">
        <v>472</v>
      </c>
      <c r="I114" s="8"/>
      <c r="J114" s="8"/>
      <c r="K114" s="8"/>
      <c r="L114" s="8"/>
    </row>
    <row r="115" customFormat="false" ht="23.85" hidden="false" customHeight="false" outlineLevel="0" collapsed="false">
      <c r="A115" s="4" t="s">
        <v>473</v>
      </c>
      <c r="B115" s="5" t="s">
        <v>465</v>
      </c>
      <c r="C115" s="4" t="s">
        <v>16</v>
      </c>
      <c r="D115" s="5" t="s">
        <v>474</v>
      </c>
      <c r="E115" s="5" t="s">
        <v>475</v>
      </c>
      <c r="F115" s="10" t="s">
        <v>292</v>
      </c>
      <c r="G115" s="4" t="s">
        <v>20</v>
      </c>
      <c r="H115" s="5" t="s">
        <v>476</v>
      </c>
      <c r="I115" s="5"/>
      <c r="J115" s="5"/>
      <c r="K115" s="5"/>
      <c r="L115" s="5"/>
    </row>
    <row r="116" customFormat="false" ht="15" hidden="false" customHeight="false" outlineLevel="0" collapsed="false">
      <c r="A116" s="7" t="s">
        <v>477</v>
      </c>
      <c r="B116" s="8" t="s">
        <v>465</v>
      </c>
      <c r="C116" s="7" t="s">
        <v>16</v>
      </c>
      <c r="D116" s="8" t="s">
        <v>478</v>
      </c>
      <c r="E116" s="8" t="s">
        <v>479</v>
      </c>
      <c r="F116" s="10" t="s">
        <v>292</v>
      </c>
      <c r="G116" s="7" t="s">
        <v>20</v>
      </c>
      <c r="H116" s="8" t="s">
        <v>480</v>
      </c>
      <c r="I116" s="8"/>
      <c r="J116" s="8"/>
      <c r="K116" s="8"/>
      <c r="L116" s="8"/>
    </row>
    <row r="117" customFormat="false" ht="23.85" hidden="false" customHeight="false" outlineLevel="0" collapsed="false">
      <c r="A117" s="4" t="s">
        <v>481</v>
      </c>
      <c r="B117" s="5" t="s">
        <v>465</v>
      </c>
      <c r="C117" s="4" t="s">
        <v>16</v>
      </c>
      <c r="D117" s="5" t="s">
        <v>482</v>
      </c>
      <c r="E117" s="5" t="s">
        <v>483</v>
      </c>
      <c r="F117" s="9" t="s">
        <v>50</v>
      </c>
      <c r="G117" s="4" t="s">
        <v>33</v>
      </c>
      <c r="H117" s="5" t="s">
        <v>484</v>
      </c>
      <c r="I117" s="5"/>
      <c r="J117" s="5"/>
      <c r="K117" s="5"/>
      <c r="L117" s="5"/>
    </row>
    <row r="118" customFormat="false" ht="23.85" hidden="false" customHeight="false" outlineLevel="0" collapsed="false">
      <c r="A118" s="7" t="s">
        <v>485</v>
      </c>
      <c r="B118" s="8" t="s">
        <v>465</v>
      </c>
      <c r="C118" s="7" t="s">
        <v>16</v>
      </c>
      <c r="D118" s="8" t="s">
        <v>486</v>
      </c>
      <c r="E118" s="8" t="s">
        <v>487</v>
      </c>
      <c r="F118" s="9" t="s">
        <v>50</v>
      </c>
      <c r="G118" s="7" t="s">
        <v>33</v>
      </c>
      <c r="H118" s="8" t="s">
        <v>488</v>
      </c>
      <c r="I118" s="8"/>
      <c r="J118" s="8"/>
      <c r="K118" s="8"/>
      <c r="L118" s="8"/>
    </row>
    <row r="119" customFormat="false" ht="23.85" hidden="false" customHeight="false" outlineLevel="0" collapsed="false">
      <c r="A119" s="4" t="s">
        <v>489</v>
      </c>
      <c r="B119" s="5" t="s">
        <v>465</v>
      </c>
      <c r="C119" s="4" t="s">
        <v>16</v>
      </c>
      <c r="D119" s="5" t="s">
        <v>490</v>
      </c>
      <c r="E119" s="5" t="s">
        <v>491</v>
      </c>
      <c r="F119" s="10" t="s">
        <v>292</v>
      </c>
      <c r="G119" s="4" t="s">
        <v>33</v>
      </c>
      <c r="H119" s="5" t="s">
        <v>492</v>
      </c>
      <c r="I119" s="5"/>
      <c r="J119" s="5"/>
      <c r="K119" s="5"/>
      <c r="L119" s="5"/>
    </row>
    <row r="120" customFormat="false" ht="15" hidden="false" customHeight="false" outlineLevel="0" collapsed="false">
      <c r="A120" s="7" t="s">
        <v>493</v>
      </c>
      <c r="B120" s="8" t="s">
        <v>494</v>
      </c>
      <c r="C120" s="7" t="s">
        <v>16</v>
      </c>
      <c r="D120" s="8" t="s">
        <v>495</v>
      </c>
      <c r="E120" s="8" t="s">
        <v>496</v>
      </c>
      <c r="F120" s="6" t="s">
        <v>19</v>
      </c>
      <c r="G120" s="7" t="s">
        <v>33</v>
      </c>
      <c r="H120" s="8" t="s">
        <v>497</v>
      </c>
      <c r="I120" s="8"/>
      <c r="J120" s="8"/>
      <c r="K120" s="8"/>
      <c r="L120" s="8"/>
    </row>
    <row r="121" customFormat="false" ht="23.85" hidden="false" customHeight="false" outlineLevel="0" collapsed="false">
      <c r="A121" s="4" t="s">
        <v>498</v>
      </c>
      <c r="B121" s="5" t="s">
        <v>494</v>
      </c>
      <c r="C121" s="4" t="s">
        <v>16</v>
      </c>
      <c r="D121" s="5" t="s">
        <v>499</v>
      </c>
      <c r="E121" s="5" t="s">
        <v>500</v>
      </c>
      <c r="F121" s="6" t="s">
        <v>19</v>
      </c>
      <c r="G121" s="4" t="s">
        <v>33</v>
      </c>
      <c r="H121" s="5" t="s">
        <v>501</v>
      </c>
      <c r="I121" s="5"/>
      <c r="J121" s="5"/>
      <c r="K121" s="5"/>
      <c r="L121" s="5"/>
    </row>
    <row r="122" customFormat="false" ht="23.85" hidden="false" customHeight="false" outlineLevel="0" collapsed="false">
      <c r="A122" s="7" t="s">
        <v>502</v>
      </c>
      <c r="B122" s="8" t="s">
        <v>494</v>
      </c>
      <c r="C122" s="7" t="s">
        <v>16</v>
      </c>
      <c r="D122" s="8" t="s">
        <v>503</v>
      </c>
      <c r="E122" s="8" t="s">
        <v>504</v>
      </c>
      <c r="F122" s="6" t="s">
        <v>19</v>
      </c>
      <c r="G122" s="7" t="s">
        <v>20</v>
      </c>
      <c r="H122" s="8" t="s">
        <v>505</v>
      </c>
      <c r="I122" s="8"/>
      <c r="J122" s="8"/>
      <c r="K122" s="8"/>
      <c r="L122" s="8"/>
    </row>
    <row r="123" customFormat="false" ht="23.85" hidden="false" customHeight="false" outlineLevel="0" collapsed="false">
      <c r="A123" s="4" t="s">
        <v>506</v>
      </c>
      <c r="B123" s="5" t="s">
        <v>494</v>
      </c>
      <c r="C123" s="4" t="s">
        <v>16</v>
      </c>
      <c r="D123" s="5" t="s">
        <v>507</v>
      </c>
      <c r="E123" s="5" t="s">
        <v>508</v>
      </c>
      <c r="F123" s="6" t="s">
        <v>19</v>
      </c>
      <c r="G123" s="4" t="s">
        <v>33</v>
      </c>
      <c r="H123" s="5" t="s">
        <v>509</v>
      </c>
      <c r="I123" s="5"/>
      <c r="J123" s="5"/>
      <c r="K123" s="5"/>
      <c r="L123" s="5"/>
    </row>
    <row r="124" customFormat="false" ht="23.85" hidden="false" customHeight="false" outlineLevel="0" collapsed="false">
      <c r="A124" s="7" t="s">
        <v>510</v>
      </c>
      <c r="B124" s="8" t="s">
        <v>494</v>
      </c>
      <c r="C124" s="7" t="s">
        <v>16</v>
      </c>
      <c r="D124" s="8" t="s">
        <v>511</v>
      </c>
      <c r="E124" s="8" t="s">
        <v>512</v>
      </c>
      <c r="F124" s="9" t="s">
        <v>50</v>
      </c>
      <c r="G124" s="7" t="s">
        <v>33</v>
      </c>
      <c r="H124" s="8" t="s">
        <v>513</v>
      </c>
      <c r="I124" s="8"/>
      <c r="J124" s="8"/>
      <c r="K124" s="8"/>
      <c r="L124" s="8"/>
    </row>
    <row r="125" customFormat="false" ht="23.85" hidden="false" customHeight="false" outlineLevel="0" collapsed="false">
      <c r="A125" s="4" t="s">
        <v>514</v>
      </c>
      <c r="B125" s="5" t="s">
        <v>515</v>
      </c>
      <c r="C125" s="4" t="s">
        <v>516</v>
      </c>
      <c r="D125" s="5" t="s">
        <v>517</v>
      </c>
      <c r="E125" s="5" t="s">
        <v>518</v>
      </c>
      <c r="F125" s="6" t="s">
        <v>19</v>
      </c>
      <c r="G125" s="4" t="s">
        <v>33</v>
      </c>
      <c r="H125" s="5" t="s">
        <v>519</v>
      </c>
      <c r="I125" s="5"/>
      <c r="J125" s="5"/>
      <c r="K125" s="5"/>
      <c r="L125" s="5"/>
    </row>
    <row r="126" customFormat="false" ht="15" hidden="false" customHeight="false" outlineLevel="0" collapsed="false">
      <c r="A126" s="7" t="s">
        <v>520</v>
      </c>
      <c r="B126" s="8" t="s">
        <v>515</v>
      </c>
      <c r="C126" s="7" t="s">
        <v>516</v>
      </c>
      <c r="D126" s="8" t="s">
        <v>521</v>
      </c>
      <c r="E126" s="8" t="s">
        <v>522</v>
      </c>
      <c r="F126" s="6" t="s">
        <v>19</v>
      </c>
      <c r="G126" s="7" t="s">
        <v>20</v>
      </c>
      <c r="H126" s="8" t="s">
        <v>523</v>
      </c>
      <c r="I126" s="8"/>
      <c r="J126" s="8"/>
      <c r="K126" s="8"/>
      <c r="L126" s="8"/>
    </row>
    <row r="127" customFormat="false" ht="15" hidden="false" customHeight="false" outlineLevel="0" collapsed="false">
      <c r="A127" s="4" t="s">
        <v>524</v>
      </c>
      <c r="B127" s="5" t="s">
        <v>515</v>
      </c>
      <c r="C127" s="4" t="s">
        <v>516</v>
      </c>
      <c r="D127" s="5" t="s">
        <v>525</v>
      </c>
      <c r="E127" s="5" t="s">
        <v>526</v>
      </c>
      <c r="F127" s="9" t="s">
        <v>50</v>
      </c>
      <c r="G127" s="4" t="s">
        <v>33</v>
      </c>
      <c r="H127" s="5" t="s">
        <v>527</v>
      </c>
      <c r="I127" s="5"/>
      <c r="J127" s="5"/>
      <c r="K127" s="5"/>
      <c r="L127" s="5"/>
    </row>
    <row r="128" customFormat="false" ht="15" hidden="false" customHeight="false" outlineLevel="0" collapsed="false">
      <c r="A128" s="7" t="s">
        <v>528</v>
      </c>
      <c r="B128" s="8" t="s">
        <v>515</v>
      </c>
      <c r="C128" s="7" t="s">
        <v>516</v>
      </c>
      <c r="D128" s="8" t="s">
        <v>529</v>
      </c>
      <c r="E128" s="8" t="s">
        <v>530</v>
      </c>
      <c r="F128" s="9" t="s">
        <v>50</v>
      </c>
      <c r="G128" s="7" t="s">
        <v>33</v>
      </c>
      <c r="H128" s="8" t="s">
        <v>531</v>
      </c>
      <c r="I128" s="8"/>
      <c r="J128" s="8"/>
      <c r="K128" s="8"/>
      <c r="L128" s="8"/>
    </row>
    <row r="129" customFormat="false" ht="15" hidden="false" customHeight="false" outlineLevel="0" collapsed="false">
      <c r="A129" s="4" t="s">
        <v>532</v>
      </c>
      <c r="B129" s="5" t="s">
        <v>515</v>
      </c>
      <c r="C129" s="4" t="s">
        <v>516</v>
      </c>
      <c r="D129" s="5" t="s">
        <v>533</v>
      </c>
      <c r="E129" s="5" t="s">
        <v>534</v>
      </c>
      <c r="F129" s="9" t="s">
        <v>50</v>
      </c>
      <c r="G129" s="4" t="s">
        <v>535</v>
      </c>
      <c r="H129" s="5" t="s">
        <v>536</v>
      </c>
      <c r="I129" s="5"/>
      <c r="J129" s="5"/>
      <c r="K129" s="5"/>
      <c r="L129" s="5"/>
    </row>
    <row r="130" customFormat="false" ht="15" hidden="false" customHeight="false" outlineLevel="0" collapsed="false">
      <c r="A130" s="7" t="s">
        <v>537</v>
      </c>
      <c r="B130" s="8" t="s">
        <v>538</v>
      </c>
      <c r="C130" s="7" t="s">
        <v>516</v>
      </c>
      <c r="D130" s="8" t="s">
        <v>539</v>
      </c>
      <c r="E130" s="8" t="s">
        <v>540</v>
      </c>
      <c r="F130" s="9" t="s">
        <v>50</v>
      </c>
      <c r="G130" s="7" t="s">
        <v>33</v>
      </c>
      <c r="H130" s="8" t="s">
        <v>541</v>
      </c>
      <c r="I130" s="8"/>
      <c r="J130" s="8"/>
      <c r="K130" s="8"/>
      <c r="L130" s="8"/>
    </row>
    <row r="131" customFormat="false" ht="15" hidden="false" customHeight="false" outlineLevel="0" collapsed="false">
      <c r="A131" s="4" t="s">
        <v>542</v>
      </c>
      <c r="B131" s="5" t="s">
        <v>538</v>
      </c>
      <c r="C131" s="4" t="s">
        <v>516</v>
      </c>
      <c r="D131" s="5" t="s">
        <v>543</v>
      </c>
      <c r="E131" s="5" t="s">
        <v>544</v>
      </c>
      <c r="F131" s="9" t="s">
        <v>50</v>
      </c>
      <c r="G131" s="4" t="s">
        <v>33</v>
      </c>
      <c r="H131" s="5" t="s">
        <v>545</v>
      </c>
      <c r="I131" s="5"/>
      <c r="J131" s="5"/>
      <c r="K131" s="5"/>
      <c r="L131" s="5"/>
    </row>
    <row r="132" customFormat="false" ht="15" hidden="false" customHeight="false" outlineLevel="0" collapsed="false">
      <c r="A132" s="7" t="s">
        <v>546</v>
      </c>
      <c r="B132" s="8" t="s">
        <v>538</v>
      </c>
      <c r="C132" s="7" t="s">
        <v>516</v>
      </c>
      <c r="D132" s="8" t="s">
        <v>547</v>
      </c>
      <c r="E132" s="8" t="s">
        <v>548</v>
      </c>
      <c r="F132" s="9" t="s">
        <v>50</v>
      </c>
      <c r="G132" s="7" t="s">
        <v>33</v>
      </c>
      <c r="H132" s="8" t="s">
        <v>549</v>
      </c>
      <c r="I132" s="8"/>
      <c r="J132" s="8"/>
      <c r="K132" s="8"/>
      <c r="L132" s="8"/>
    </row>
    <row r="133" customFormat="false" ht="15" hidden="false" customHeight="false" outlineLevel="0" collapsed="false">
      <c r="A133" s="4" t="s">
        <v>550</v>
      </c>
      <c r="B133" s="5" t="s">
        <v>538</v>
      </c>
      <c r="C133" s="4" t="s">
        <v>516</v>
      </c>
      <c r="D133" s="5" t="s">
        <v>551</v>
      </c>
      <c r="E133" s="5" t="s">
        <v>552</v>
      </c>
      <c r="F133" s="6" t="s">
        <v>19</v>
      </c>
      <c r="G133" s="4" t="s">
        <v>33</v>
      </c>
      <c r="H133" s="5" t="s">
        <v>553</v>
      </c>
      <c r="I133" s="5"/>
      <c r="J133" s="5"/>
      <c r="K133" s="5"/>
      <c r="L133" s="5"/>
    </row>
    <row r="134" customFormat="false" ht="15" hidden="false" customHeight="false" outlineLevel="0" collapsed="false">
      <c r="A134" s="7" t="s">
        <v>554</v>
      </c>
      <c r="B134" s="8" t="s">
        <v>538</v>
      </c>
      <c r="C134" s="7" t="s">
        <v>516</v>
      </c>
      <c r="D134" s="8" t="s">
        <v>555</v>
      </c>
      <c r="E134" s="8" t="s">
        <v>556</v>
      </c>
      <c r="F134" s="9" t="s">
        <v>50</v>
      </c>
      <c r="G134" s="7" t="s">
        <v>535</v>
      </c>
      <c r="H134" s="8" t="s">
        <v>557</v>
      </c>
      <c r="I134" s="8"/>
      <c r="J134" s="8"/>
      <c r="K134" s="8"/>
      <c r="L134" s="8"/>
    </row>
    <row r="135" customFormat="false" ht="15" hidden="false" customHeight="false" outlineLevel="0" collapsed="false">
      <c r="A135" s="4" t="s">
        <v>558</v>
      </c>
      <c r="B135" s="5" t="s">
        <v>559</v>
      </c>
      <c r="C135" s="4" t="s">
        <v>516</v>
      </c>
      <c r="D135" s="5" t="s">
        <v>560</v>
      </c>
      <c r="E135" s="5" t="s">
        <v>561</v>
      </c>
      <c r="F135" s="9" t="s">
        <v>50</v>
      </c>
      <c r="G135" s="4" t="s">
        <v>33</v>
      </c>
      <c r="H135" s="5" t="s">
        <v>562</v>
      </c>
      <c r="I135" s="5"/>
      <c r="J135" s="5"/>
      <c r="K135" s="5"/>
      <c r="L135" s="5"/>
    </row>
    <row r="136" customFormat="false" ht="15" hidden="false" customHeight="false" outlineLevel="0" collapsed="false">
      <c r="A136" s="7" t="s">
        <v>563</v>
      </c>
      <c r="B136" s="8" t="s">
        <v>559</v>
      </c>
      <c r="C136" s="7" t="s">
        <v>516</v>
      </c>
      <c r="D136" s="8" t="s">
        <v>564</v>
      </c>
      <c r="E136" s="8" t="s">
        <v>565</v>
      </c>
      <c r="F136" s="10" t="s">
        <v>292</v>
      </c>
      <c r="G136" s="7" t="s">
        <v>33</v>
      </c>
      <c r="H136" s="8" t="s">
        <v>566</v>
      </c>
      <c r="I136" s="8"/>
      <c r="J136" s="8"/>
      <c r="K136" s="8"/>
      <c r="L136" s="8"/>
    </row>
    <row r="137" customFormat="false" ht="15" hidden="false" customHeight="false" outlineLevel="0" collapsed="false">
      <c r="A137" s="4" t="s">
        <v>567</v>
      </c>
      <c r="B137" s="5" t="s">
        <v>559</v>
      </c>
      <c r="C137" s="4" t="s">
        <v>516</v>
      </c>
      <c r="D137" s="5" t="s">
        <v>568</v>
      </c>
      <c r="E137" s="5" t="s">
        <v>569</v>
      </c>
      <c r="F137" s="9" t="s">
        <v>50</v>
      </c>
      <c r="G137" s="4" t="s">
        <v>33</v>
      </c>
      <c r="H137" s="5" t="s">
        <v>570</v>
      </c>
      <c r="I137" s="5"/>
      <c r="J137" s="5"/>
      <c r="K137" s="5"/>
      <c r="L137" s="5"/>
    </row>
    <row r="138" customFormat="false" ht="23.85" hidden="false" customHeight="false" outlineLevel="0" collapsed="false">
      <c r="A138" s="7" t="s">
        <v>571</v>
      </c>
      <c r="B138" s="8" t="s">
        <v>559</v>
      </c>
      <c r="C138" s="7" t="s">
        <v>516</v>
      </c>
      <c r="D138" s="8" t="s">
        <v>572</v>
      </c>
      <c r="E138" s="8" t="s">
        <v>573</v>
      </c>
      <c r="F138" s="10" t="s">
        <v>292</v>
      </c>
      <c r="G138" s="7" t="s">
        <v>574</v>
      </c>
      <c r="H138" s="8" t="s">
        <v>575</v>
      </c>
      <c r="I138" s="8"/>
      <c r="J138" s="8"/>
      <c r="K138" s="8"/>
      <c r="L138" s="8"/>
    </row>
    <row r="139" customFormat="false" ht="15" hidden="false" customHeight="false" outlineLevel="0" collapsed="false">
      <c r="A139" s="4" t="s">
        <v>576</v>
      </c>
      <c r="B139" s="5" t="s">
        <v>559</v>
      </c>
      <c r="C139" s="4" t="s">
        <v>516</v>
      </c>
      <c r="D139" s="5" t="s">
        <v>577</v>
      </c>
      <c r="E139" s="5" t="s">
        <v>578</v>
      </c>
      <c r="F139" s="6" t="s">
        <v>19</v>
      </c>
      <c r="G139" s="4" t="s">
        <v>33</v>
      </c>
      <c r="H139" s="5" t="s">
        <v>579</v>
      </c>
      <c r="I139" s="5"/>
      <c r="J139" s="5"/>
      <c r="K139" s="5"/>
      <c r="L139" s="5"/>
    </row>
    <row r="140" customFormat="false" ht="15" hidden="false" customHeight="false" outlineLevel="0" collapsed="false">
      <c r="A140" s="7" t="s">
        <v>580</v>
      </c>
      <c r="B140" s="8" t="s">
        <v>581</v>
      </c>
      <c r="C140" s="7" t="s">
        <v>516</v>
      </c>
      <c r="D140" s="8" t="s">
        <v>582</v>
      </c>
      <c r="E140" s="8" t="s">
        <v>583</v>
      </c>
      <c r="F140" s="6" t="s">
        <v>19</v>
      </c>
      <c r="G140" s="7" t="s">
        <v>33</v>
      </c>
      <c r="H140" s="8" t="s">
        <v>584</v>
      </c>
      <c r="I140" s="8"/>
      <c r="J140" s="8"/>
      <c r="K140" s="8"/>
      <c r="L140" s="8"/>
    </row>
    <row r="141" customFormat="false" ht="15" hidden="false" customHeight="false" outlineLevel="0" collapsed="false">
      <c r="A141" s="4" t="s">
        <v>585</v>
      </c>
      <c r="B141" s="5" t="s">
        <v>581</v>
      </c>
      <c r="C141" s="4" t="s">
        <v>516</v>
      </c>
      <c r="D141" s="5" t="s">
        <v>586</v>
      </c>
      <c r="E141" s="5" t="s">
        <v>587</v>
      </c>
      <c r="F141" s="6" t="s">
        <v>19</v>
      </c>
      <c r="G141" s="4" t="s">
        <v>33</v>
      </c>
      <c r="H141" s="5" t="s">
        <v>588</v>
      </c>
      <c r="I141" s="5"/>
      <c r="J141" s="5"/>
      <c r="K141" s="5"/>
      <c r="L141" s="5"/>
    </row>
    <row r="142" customFormat="false" ht="15" hidden="false" customHeight="false" outlineLevel="0" collapsed="false">
      <c r="A142" s="7" t="s">
        <v>589</v>
      </c>
      <c r="B142" s="8" t="s">
        <v>581</v>
      </c>
      <c r="C142" s="7" t="s">
        <v>516</v>
      </c>
      <c r="D142" s="8" t="s">
        <v>590</v>
      </c>
      <c r="E142" s="8" t="s">
        <v>591</v>
      </c>
      <c r="F142" s="6" t="s">
        <v>19</v>
      </c>
      <c r="G142" s="7" t="s">
        <v>33</v>
      </c>
      <c r="H142" s="8" t="s">
        <v>592</v>
      </c>
      <c r="I142" s="8"/>
      <c r="J142" s="8"/>
      <c r="K142" s="8"/>
      <c r="L142" s="8"/>
    </row>
    <row r="143" customFormat="false" ht="15" hidden="false" customHeight="false" outlineLevel="0" collapsed="false">
      <c r="A143" s="4" t="s">
        <v>593</v>
      </c>
      <c r="B143" s="5" t="s">
        <v>581</v>
      </c>
      <c r="C143" s="4" t="s">
        <v>516</v>
      </c>
      <c r="D143" s="5" t="s">
        <v>594</v>
      </c>
      <c r="E143" s="5" t="s">
        <v>595</v>
      </c>
      <c r="F143" s="6" t="s">
        <v>19</v>
      </c>
      <c r="G143" s="4" t="s">
        <v>33</v>
      </c>
      <c r="H143" s="5" t="s">
        <v>596</v>
      </c>
      <c r="I143" s="5"/>
      <c r="J143" s="5"/>
      <c r="K143" s="5"/>
      <c r="L143" s="5"/>
    </row>
    <row r="144" customFormat="false" ht="15" hidden="false" customHeight="false" outlineLevel="0" collapsed="false">
      <c r="A144" s="7" t="s">
        <v>597</v>
      </c>
      <c r="B144" s="8" t="s">
        <v>581</v>
      </c>
      <c r="C144" s="7" t="s">
        <v>516</v>
      </c>
      <c r="D144" s="8" t="s">
        <v>598</v>
      </c>
      <c r="E144" s="8" t="s">
        <v>599</v>
      </c>
      <c r="F144" s="9" t="s">
        <v>50</v>
      </c>
      <c r="G144" s="7" t="s">
        <v>33</v>
      </c>
      <c r="H144" s="8" t="s">
        <v>600</v>
      </c>
      <c r="I144" s="8"/>
      <c r="J144" s="8"/>
      <c r="K144" s="8"/>
      <c r="L144" s="8"/>
    </row>
    <row r="145" customFormat="false" ht="15" hidden="false" customHeight="false" outlineLevel="0" collapsed="false">
      <c r="A145" s="4" t="s">
        <v>601</v>
      </c>
      <c r="B145" s="5" t="s">
        <v>581</v>
      </c>
      <c r="C145" s="4" t="s">
        <v>516</v>
      </c>
      <c r="D145" s="5" t="s">
        <v>602</v>
      </c>
      <c r="E145" s="5" t="s">
        <v>603</v>
      </c>
      <c r="F145" s="9" t="s">
        <v>50</v>
      </c>
      <c r="G145" s="4" t="s">
        <v>33</v>
      </c>
      <c r="H145" s="5" t="s">
        <v>604</v>
      </c>
      <c r="I145" s="5"/>
      <c r="J145" s="5"/>
      <c r="K145" s="5"/>
      <c r="L145" s="5"/>
    </row>
    <row r="146" customFormat="false" ht="15" hidden="false" customHeight="false" outlineLevel="0" collapsed="false">
      <c r="A146" s="7" t="s">
        <v>605</v>
      </c>
      <c r="B146" s="8" t="s">
        <v>581</v>
      </c>
      <c r="C146" s="7" t="s">
        <v>516</v>
      </c>
      <c r="D146" s="8" t="s">
        <v>606</v>
      </c>
      <c r="E146" s="8" t="s">
        <v>607</v>
      </c>
      <c r="F146" s="9" t="s">
        <v>50</v>
      </c>
      <c r="G146" s="7" t="s">
        <v>33</v>
      </c>
      <c r="H146" s="8" t="s">
        <v>608</v>
      </c>
      <c r="I146" s="8"/>
      <c r="J146" s="8"/>
      <c r="K146" s="8"/>
      <c r="L146" s="8"/>
    </row>
    <row r="147" customFormat="false" ht="23.85" hidden="false" customHeight="false" outlineLevel="0" collapsed="false">
      <c r="A147" s="4" t="s">
        <v>609</v>
      </c>
      <c r="B147" s="5" t="s">
        <v>581</v>
      </c>
      <c r="C147" s="4" t="s">
        <v>516</v>
      </c>
      <c r="D147" s="5" t="s">
        <v>610</v>
      </c>
      <c r="E147" s="5" t="s">
        <v>611</v>
      </c>
      <c r="F147" s="9" t="s">
        <v>50</v>
      </c>
      <c r="G147" s="4" t="s">
        <v>33</v>
      </c>
      <c r="H147" s="5" t="s">
        <v>612</v>
      </c>
      <c r="I147" s="5"/>
      <c r="J147" s="5"/>
      <c r="K147" s="5"/>
      <c r="L147" s="5"/>
    </row>
    <row r="148" customFormat="false" ht="15" hidden="false" customHeight="false" outlineLevel="0" collapsed="false">
      <c r="A148" s="7" t="s">
        <v>613</v>
      </c>
      <c r="B148" s="8" t="s">
        <v>581</v>
      </c>
      <c r="C148" s="7" t="s">
        <v>516</v>
      </c>
      <c r="D148" s="8" t="s">
        <v>614</v>
      </c>
      <c r="E148" s="8" t="s">
        <v>615</v>
      </c>
      <c r="F148" s="9" t="s">
        <v>50</v>
      </c>
      <c r="G148" s="7" t="s">
        <v>33</v>
      </c>
      <c r="H148" s="8" t="s">
        <v>616</v>
      </c>
      <c r="I148" s="8"/>
      <c r="J148" s="8"/>
      <c r="K148" s="8"/>
      <c r="L148" s="8"/>
    </row>
    <row r="149" customFormat="false" ht="15" hidden="false" customHeight="false" outlineLevel="0" collapsed="false">
      <c r="A149" s="4" t="s">
        <v>617</v>
      </c>
      <c r="B149" s="5" t="s">
        <v>581</v>
      </c>
      <c r="C149" s="4" t="s">
        <v>516</v>
      </c>
      <c r="D149" s="5" t="s">
        <v>618</v>
      </c>
      <c r="E149" s="5" t="s">
        <v>619</v>
      </c>
      <c r="F149" s="6" t="s">
        <v>19</v>
      </c>
      <c r="G149" s="4" t="s">
        <v>33</v>
      </c>
      <c r="H149" s="5" t="s">
        <v>620</v>
      </c>
      <c r="I149" s="5"/>
      <c r="J149" s="5"/>
      <c r="K149" s="5"/>
      <c r="L149" s="5"/>
    </row>
    <row r="150" customFormat="false" ht="15" hidden="false" customHeight="false" outlineLevel="0" collapsed="false">
      <c r="A150" s="7" t="s">
        <v>621</v>
      </c>
      <c r="B150" s="8" t="s">
        <v>581</v>
      </c>
      <c r="C150" s="7" t="s">
        <v>516</v>
      </c>
      <c r="D150" s="8" t="s">
        <v>622</v>
      </c>
      <c r="E150" s="8" t="s">
        <v>623</v>
      </c>
      <c r="F150" s="9" t="s">
        <v>50</v>
      </c>
      <c r="G150" s="7" t="s">
        <v>535</v>
      </c>
      <c r="H150" s="8" t="s">
        <v>624</v>
      </c>
      <c r="I150" s="8"/>
      <c r="J150" s="8"/>
      <c r="K150" s="8"/>
      <c r="L150" s="8"/>
    </row>
    <row r="151" customFormat="false" ht="23.85" hidden="false" customHeight="false" outlineLevel="0" collapsed="false">
      <c r="A151" s="4" t="s">
        <v>625</v>
      </c>
      <c r="B151" s="5" t="s">
        <v>581</v>
      </c>
      <c r="C151" s="4" t="s">
        <v>516</v>
      </c>
      <c r="D151" s="5" t="s">
        <v>626</v>
      </c>
      <c r="E151" s="5" t="s">
        <v>627</v>
      </c>
      <c r="F151" s="9" t="s">
        <v>50</v>
      </c>
      <c r="G151" s="4" t="s">
        <v>535</v>
      </c>
      <c r="H151" s="5" t="s">
        <v>628</v>
      </c>
      <c r="I151" s="5"/>
      <c r="J151" s="5"/>
      <c r="K151" s="5"/>
      <c r="L151" s="5"/>
    </row>
    <row r="152" customFormat="false" ht="15" hidden="false" customHeight="false" outlineLevel="0" collapsed="false">
      <c r="A152" s="7" t="s">
        <v>629</v>
      </c>
      <c r="B152" s="8" t="s">
        <v>630</v>
      </c>
      <c r="C152" s="7" t="s">
        <v>516</v>
      </c>
      <c r="D152" s="8" t="s">
        <v>631</v>
      </c>
      <c r="E152" s="8" t="s">
        <v>632</v>
      </c>
      <c r="F152" s="6" t="s">
        <v>19</v>
      </c>
      <c r="G152" s="7" t="s">
        <v>20</v>
      </c>
      <c r="H152" s="8" t="s">
        <v>633</v>
      </c>
      <c r="I152" s="8"/>
      <c r="J152" s="8"/>
      <c r="K152" s="8"/>
      <c r="L152" s="8"/>
    </row>
    <row r="153" customFormat="false" ht="15" hidden="false" customHeight="false" outlineLevel="0" collapsed="false">
      <c r="A153" s="4" t="s">
        <v>634</v>
      </c>
      <c r="B153" s="5" t="s">
        <v>630</v>
      </c>
      <c r="C153" s="4" t="s">
        <v>516</v>
      </c>
      <c r="D153" s="5" t="s">
        <v>635</v>
      </c>
      <c r="E153" s="5" t="s">
        <v>636</v>
      </c>
      <c r="F153" s="9" t="s">
        <v>50</v>
      </c>
      <c r="G153" s="4" t="s">
        <v>33</v>
      </c>
      <c r="H153" s="5" t="s">
        <v>637</v>
      </c>
      <c r="I153" s="5"/>
      <c r="J153" s="5"/>
      <c r="K153" s="5"/>
      <c r="L153" s="5"/>
    </row>
    <row r="154" customFormat="false" ht="15" hidden="false" customHeight="false" outlineLevel="0" collapsed="false">
      <c r="A154" s="7" t="s">
        <v>638</v>
      </c>
      <c r="B154" s="8" t="s">
        <v>630</v>
      </c>
      <c r="C154" s="7" t="s">
        <v>516</v>
      </c>
      <c r="D154" s="8" t="s">
        <v>639</v>
      </c>
      <c r="E154" s="8" t="s">
        <v>640</v>
      </c>
      <c r="F154" s="9" t="s">
        <v>50</v>
      </c>
      <c r="G154" s="7" t="s">
        <v>33</v>
      </c>
      <c r="H154" s="8" t="s">
        <v>641</v>
      </c>
      <c r="I154" s="8"/>
      <c r="J154" s="8"/>
      <c r="K154" s="8"/>
      <c r="L154" s="8"/>
    </row>
    <row r="155" customFormat="false" ht="23.85" hidden="false" customHeight="false" outlineLevel="0" collapsed="false">
      <c r="A155" s="4" t="s">
        <v>642</v>
      </c>
      <c r="B155" s="5" t="s">
        <v>630</v>
      </c>
      <c r="C155" s="4" t="s">
        <v>516</v>
      </c>
      <c r="D155" s="5" t="s">
        <v>643</v>
      </c>
      <c r="E155" s="5" t="s">
        <v>644</v>
      </c>
      <c r="F155" s="9" t="s">
        <v>50</v>
      </c>
      <c r="G155" s="4" t="s">
        <v>33</v>
      </c>
      <c r="H155" s="5" t="s">
        <v>645</v>
      </c>
      <c r="I155" s="5"/>
      <c r="J155" s="5"/>
      <c r="K155" s="5"/>
      <c r="L155" s="5"/>
    </row>
    <row r="156" customFormat="false" ht="15" hidden="false" customHeight="false" outlineLevel="0" collapsed="false">
      <c r="A156" s="7" t="s">
        <v>646</v>
      </c>
      <c r="B156" s="8" t="s">
        <v>630</v>
      </c>
      <c r="C156" s="7" t="s">
        <v>516</v>
      </c>
      <c r="D156" s="8" t="s">
        <v>647</v>
      </c>
      <c r="E156" s="8" t="s">
        <v>648</v>
      </c>
      <c r="F156" s="9" t="s">
        <v>50</v>
      </c>
      <c r="G156" s="7" t="s">
        <v>33</v>
      </c>
      <c r="H156" s="8" t="s">
        <v>649</v>
      </c>
      <c r="I156" s="8"/>
      <c r="J156" s="8"/>
      <c r="K156" s="8"/>
      <c r="L156" s="8"/>
    </row>
    <row r="157" customFormat="false" ht="23.85" hidden="false" customHeight="false" outlineLevel="0" collapsed="false">
      <c r="A157" s="4" t="s">
        <v>650</v>
      </c>
      <c r="B157" s="5" t="s">
        <v>630</v>
      </c>
      <c r="C157" s="4" t="s">
        <v>516</v>
      </c>
      <c r="D157" s="5" t="s">
        <v>651</v>
      </c>
      <c r="E157" s="5" t="s">
        <v>652</v>
      </c>
      <c r="F157" s="6" t="s">
        <v>19</v>
      </c>
      <c r="G157" s="4" t="s">
        <v>186</v>
      </c>
      <c r="H157" s="5" t="s">
        <v>653</v>
      </c>
      <c r="I157" s="5"/>
      <c r="J157" s="5"/>
      <c r="K157" s="5"/>
      <c r="L157" s="5"/>
    </row>
    <row r="158" customFormat="false" ht="23.85" hidden="false" customHeight="false" outlineLevel="0" collapsed="false">
      <c r="A158" s="7" t="s">
        <v>654</v>
      </c>
      <c r="B158" s="8" t="s">
        <v>655</v>
      </c>
      <c r="C158" s="7" t="s">
        <v>516</v>
      </c>
      <c r="D158" s="8" t="s">
        <v>656</v>
      </c>
      <c r="E158" s="8" t="s">
        <v>657</v>
      </c>
      <c r="F158" s="6" t="s">
        <v>19</v>
      </c>
      <c r="G158" s="7" t="s">
        <v>33</v>
      </c>
      <c r="H158" s="8" t="s">
        <v>658</v>
      </c>
      <c r="I158" s="8"/>
      <c r="J158" s="8"/>
      <c r="K158" s="8"/>
      <c r="L158" s="8"/>
    </row>
    <row r="159" customFormat="false" ht="15" hidden="false" customHeight="false" outlineLevel="0" collapsed="false">
      <c r="A159" s="4" t="s">
        <v>659</v>
      </c>
      <c r="B159" s="5" t="s">
        <v>655</v>
      </c>
      <c r="C159" s="4" t="s">
        <v>516</v>
      </c>
      <c r="D159" s="5" t="s">
        <v>660</v>
      </c>
      <c r="E159" s="5" t="s">
        <v>661</v>
      </c>
      <c r="F159" s="9" t="s">
        <v>50</v>
      </c>
      <c r="G159" s="4" t="s">
        <v>33</v>
      </c>
      <c r="H159" s="5" t="s">
        <v>662</v>
      </c>
      <c r="I159" s="5"/>
      <c r="J159" s="5"/>
      <c r="K159" s="5"/>
      <c r="L159" s="5"/>
    </row>
    <row r="160" customFormat="false" ht="15" hidden="false" customHeight="false" outlineLevel="0" collapsed="false">
      <c r="A160" s="7" t="s">
        <v>663</v>
      </c>
      <c r="B160" s="8" t="s">
        <v>655</v>
      </c>
      <c r="C160" s="7" t="s">
        <v>516</v>
      </c>
      <c r="D160" s="8" t="s">
        <v>664</v>
      </c>
      <c r="E160" s="8" t="s">
        <v>665</v>
      </c>
      <c r="F160" s="9" t="s">
        <v>50</v>
      </c>
      <c r="G160" s="7" t="s">
        <v>33</v>
      </c>
      <c r="H160" s="8" t="s">
        <v>666</v>
      </c>
      <c r="I160" s="8"/>
      <c r="J160" s="8"/>
      <c r="K160" s="8"/>
      <c r="L160" s="8"/>
    </row>
    <row r="161" customFormat="false" ht="15" hidden="false" customHeight="false" outlineLevel="0" collapsed="false">
      <c r="A161" s="4" t="s">
        <v>667</v>
      </c>
      <c r="B161" s="5" t="s">
        <v>655</v>
      </c>
      <c r="C161" s="4" t="s">
        <v>516</v>
      </c>
      <c r="D161" s="5" t="s">
        <v>668</v>
      </c>
      <c r="E161" s="5" t="s">
        <v>669</v>
      </c>
      <c r="F161" s="9" t="s">
        <v>50</v>
      </c>
      <c r="G161" s="4" t="s">
        <v>33</v>
      </c>
      <c r="H161" s="5" t="s">
        <v>670</v>
      </c>
      <c r="I161" s="5"/>
      <c r="J161" s="5"/>
      <c r="K161" s="5"/>
      <c r="L161" s="5"/>
    </row>
    <row r="162" customFormat="false" ht="15" hidden="false" customHeight="false" outlineLevel="0" collapsed="false">
      <c r="A162" s="7" t="s">
        <v>671</v>
      </c>
      <c r="B162" s="8" t="s">
        <v>655</v>
      </c>
      <c r="C162" s="7" t="s">
        <v>516</v>
      </c>
      <c r="D162" s="8" t="s">
        <v>672</v>
      </c>
      <c r="E162" s="8" t="s">
        <v>673</v>
      </c>
      <c r="F162" s="9" t="s">
        <v>50</v>
      </c>
      <c r="G162" s="7" t="s">
        <v>535</v>
      </c>
      <c r="H162" s="8" t="s">
        <v>674</v>
      </c>
      <c r="I162" s="8"/>
      <c r="J162" s="8"/>
      <c r="K162" s="8"/>
      <c r="L162" s="8"/>
    </row>
    <row r="163" customFormat="false" ht="15" hidden="false" customHeight="false" outlineLevel="0" collapsed="false">
      <c r="A163" s="4" t="s">
        <v>675</v>
      </c>
      <c r="B163" s="5" t="s">
        <v>655</v>
      </c>
      <c r="C163" s="4" t="s">
        <v>516</v>
      </c>
      <c r="D163" s="5" t="s">
        <v>676</v>
      </c>
      <c r="E163" s="5" t="s">
        <v>677</v>
      </c>
      <c r="F163" s="6" t="s">
        <v>19</v>
      </c>
      <c r="G163" s="4" t="s">
        <v>33</v>
      </c>
      <c r="H163" s="5" t="s">
        <v>678</v>
      </c>
      <c r="I163" s="5"/>
      <c r="J163" s="5"/>
      <c r="K163" s="5"/>
      <c r="L163" s="5"/>
    </row>
    <row r="164" customFormat="false" ht="15" hidden="false" customHeight="false" outlineLevel="0" collapsed="false">
      <c r="A164" s="7" t="s">
        <v>679</v>
      </c>
      <c r="B164" s="8" t="s">
        <v>655</v>
      </c>
      <c r="C164" s="7" t="s">
        <v>516</v>
      </c>
      <c r="D164" s="8" t="s">
        <v>680</v>
      </c>
      <c r="E164" s="8" t="s">
        <v>681</v>
      </c>
      <c r="F164" s="9" t="s">
        <v>50</v>
      </c>
      <c r="G164" s="7" t="s">
        <v>535</v>
      </c>
      <c r="H164" s="8" t="s">
        <v>682</v>
      </c>
      <c r="I164" s="8"/>
      <c r="J164" s="8"/>
      <c r="K164" s="8"/>
      <c r="L164" s="8"/>
    </row>
    <row r="165" customFormat="false" ht="23.85" hidden="false" customHeight="false" outlineLevel="0" collapsed="false">
      <c r="A165" s="4" t="s">
        <v>683</v>
      </c>
      <c r="B165" s="5" t="s">
        <v>684</v>
      </c>
      <c r="C165" s="4" t="s">
        <v>516</v>
      </c>
      <c r="D165" s="5" t="s">
        <v>685</v>
      </c>
      <c r="E165" s="5" t="s">
        <v>686</v>
      </c>
      <c r="F165" s="9" t="s">
        <v>50</v>
      </c>
      <c r="G165" s="4" t="s">
        <v>535</v>
      </c>
      <c r="H165" s="5" t="s">
        <v>687</v>
      </c>
      <c r="I165" s="5"/>
      <c r="J165" s="5"/>
      <c r="K165" s="5"/>
      <c r="L165" s="5"/>
    </row>
    <row r="166" customFormat="false" ht="23.85" hidden="false" customHeight="false" outlineLevel="0" collapsed="false">
      <c r="A166" s="7" t="s">
        <v>688</v>
      </c>
      <c r="B166" s="8" t="s">
        <v>684</v>
      </c>
      <c r="C166" s="7" t="s">
        <v>516</v>
      </c>
      <c r="D166" s="8" t="s">
        <v>689</v>
      </c>
      <c r="E166" s="8" t="s">
        <v>690</v>
      </c>
      <c r="F166" s="9" t="s">
        <v>50</v>
      </c>
      <c r="G166" s="7" t="s">
        <v>535</v>
      </c>
      <c r="H166" s="8" t="s">
        <v>691</v>
      </c>
      <c r="I166" s="8"/>
      <c r="J166" s="8"/>
      <c r="K166" s="8"/>
      <c r="L166" s="8"/>
    </row>
    <row r="167" customFormat="false" ht="15" hidden="false" customHeight="false" outlineLevel="0" collapsed="false">
      <c r="A167" s="4" t="s">
        <v>692</v>
      </c>
      <c r="B167" s="5" t="s">
        <v>684</v>
      </c>
      <c r="C167" s="4" t="s">
        <v>516</v>
      </c>
      <c r="D167" s="5" t="s">
        <v>693</v>
      </c>
      <c r="E167" s="5" t="s">
        <v>694</v>
      </c>
      <c r="F167" s="9" t="s">
        <v>50</v>
      </c>
      <c r="G167" s="4" t="s">
        <v>33</v>
      </c>
      <c r="H167" s="5" t="s">
        <v>695</v>
      </c>
      <c r="I167" s="5"/>
      <c r="J167" s="5"/>
      <c r="K167" s="5"/>
      <c r="L167" s="5"/>
    </row>
    <row r="168" customFormat="false" ht="15" hidden="false" customHeight="false" outlineLevel="0" collapsed="false">
      <c r="A168" s="7" t="s">
        <v>696</v>
      </c>
      <c r="B168" s="8" t="s">
        <v>684</v>
      </c>
      <c r="C168" s="7" t="s">
        <v>516</v>
      </c>
      <c r="D168" s="8" t="s">
        <v>697</v>
      </c>
      <c r="E168" s="8" t="s">
        <v>698</v>
      </c>
      <c r="F168" s="9" t="s">
        <v>50</v>
      </c>
      <c r="G168" s="7" t="s">
        <v>535</v>
      </c>
      <c r="H168" s="8" t="s">
        <v>699</v>
      </c>
      <c r="I168" s="8"/>
      <c r="J168" s="8"/>
      <c r="K168" s="8"/>
      <c r="L168" s="8"/>
    </row>
    <row r="169" customFormat="false" ht="23.85" hidden="false" customHeight="false" outlineLevel="0" collapsed="false">
      <c r="A169" s="4" t="s">
        <v>700</v>
      </c>
      <c r="B169" s="5" t="s">
        <v>684</v>
      </c>
      <c r="C169" s="4" t="s">
        <v>516</v>
      </c>
      <c r="D169" s="5" t="s">
        <v>701</v>
      </c>
      <c r="E169" s="5" t="s">
        <v>702</v>
      </c>
      <c r="F169" s="9" t="s">
        <v>50</v>
      </c>
      <c r="G169" s="4" t="s">
        <v>535</v>
      </c>
      <c r="H169" s="5" t="s">
        <v>703</v>
      </c>
      <c r="I169" s="5"/>
      <c r="J169" s="5"/>
      <c r="K169" s="5"/>
      <c r="L169" s="5"/>
    </row>
    <row r="170" customFormat="false" ht="15" hidden="false" customHeight="false" outlineLevel="0" collapsed="false">
      <c r="A170" s="7" t="s">
        <v>704</v>
      </c>
      <c r="B170" s="8" t="s">
        <v>705</v>
      </c>
      <c r="C170" s="7" t="s">
        <v>516</v>
      </c>
      <c r="D170" s="8" t="s">
        <v>706</v>
      </c>
      <c r="E170" s="8" t="s">
        <v>707</v>
      </c>
      <c r="F170" s="9" t="s">
        <v>50</v>
      </c>
      <c r="G170" s="7" t="s">
        <v>33</v>
      </c>
      <c r="H170" s="8" t="s">
        <v>708</v>
      </c>
      <c r="I170" s="8"/>
      <c r="J170" s="8"/>
      <c r="K170" s="8"/>
      <c r="L170" s="8"/>
    </row>
    <row r="171" customFormat="false" ht="15" hidden="false" customHeight="false" outlineLevel="0" collapsed="false">
      <c r="A171" s="4" t="s">
        <v>709</v>
      </c>
      <c r="B171" s="5" t="s">
        <v>705</v>
      </c>
      <c r="C171" s="4" t="s">
        <v>516</v>
      </c>
      <c r="D171" s="5" t="s">
        <v>710</v>
      </c>
      <c r="E171" s="5" t="s">
        <v>711</v>
      </c>
      <c r="F171" s="6" t="s">
        <v>19</v>
      </c>
      <c r="G171" s="4" t="s">
        <v>33</v>
      </c>
      <c r="H171" s="5" t="s">
        <v>712</v>
      </c>
      <c r="I171" s="5"/>
      <c r="J171" s="5"/>
      <c r="K171" s="5"/>
      <c r="L171" s="5"/>
    </row>
    <row r="172" customFormat="false" ht="15" hidden="false" customHeight="false" outlineLevel="0" collapsed="false">
      <c r="A172" s="7" t="s">
        <v>713</v>
      </c>
      <c r="B172" s="8" t="s">
        <v>705</v>
      </c>
      <c r="C172" s="7" t="s">
        <v>516</v>
      </c>
      <c r="D172" s="8" t="s">
        <v>714</v>
      </c>
      <c r="E172" s="8" t="s">
        <v>715</v>
      </c>
      <c r="F172" s="6" t="s">
        <v>19</v>
      </c>
      <c r="G172" s="7" t="s">
        <v>33</v>
      </c>
      <c r="H172" s="8" t="s">
        <v>716</v>
      </c>
      <c r="I172" s="8"/>
      <c r="J172" s="8"/>
      <c r="K172" s="8"/>
      <c r="L172" s="8"/>
    </row>
    <row r="173" customFormat="false" ht="15" hidden="false" customHeight="false" outlineLevel="0" collapsed="false">
      <c r="A173" s="4" t="s">
        <v>717</v>
      </c>
      <c r="B173" s="5" t="s">
        <v>705</v>
      </c>
      <c r="C173" s="4" t="s">
        <v>516</v>
      </c>
      <c r="D173" s="5" t="s">
        <v>718</v>
      </c>
      <c r="E173" s="5" t="s">
        <v>719</v>
      </c>
      <c r="F173" s="10" t="s">
        <v>292</v>
      </c>
      <c r="G173" s="4" t="s">
        <v>33</v>
      </c>
      <c r="H173" s="5" t="s">
        <v>720</v>
      </c>
      <c r="I173" s="5"/>
      <c r="J173" s="5"/>
      <c r="K173" s="5"/>
      <c r="L173" s="5"/>
    </row>
    <row r="174" customFormat="false" ht="15" hidden="false" customHeight="false" outlineLevel="0" collapsed="false">
      <c r="A174" s="7" t="s">
        <v>721</v>
      </c>
      <c r="B174" s="8" t="s">
        <v>722</v>
      </c>
      <c r="C174" s="7" t="s">
        <v>516</v>
      </c>
      <c r="D174" s="8" t="s">
        <v>723</v>
      </c>
      <c r="E174" s="8" t="s">
        <v>724</v>
      </c>
      <c r="F174" s="6" t="s">
        <v>19</v>
      </c>
      <c r="G174" s="7" t="s">
        <v>33</v>
      </c>
      <c r="H174" s="8" t="s">
        <v>725</v>
      </c>
      <c r="I174" s="8"/>
      <c r="J174" s="8"/>
      <c r="K174" s="8"/>
      <c r="L174" s="8"/>
    </row>
    <row r="175" customFormat="false" ht="15" hidden="false" customHeight="false" outlineLevel="0" collapsed="false">
      <c r="A175" s="4" t="s">
        <v>726</v>
      </c>
      <c r="B175" s="5" t="s">
        <v>722</v>
      </c>
      <c r="C175" s="4" t="s">
        <v>516</v>
      </c>
      <c r="D175" s="5" t="s">
        <v>727</v>
      </c>
      <c r="E175" s="5" t="s">
        <v>728</v>
      </c>
      <c r="F175" s="6" t="s">
        <v>19</v>
      </c>
      <c r="G175" s="4" t="s">
        <v>33</v>
      </c>
      <c r="H175" s="5" t="s">
        <v>729</v>
      </c>
      <c r="I175" s="5"/>
      <c r="J175" s="5"/>
      <c r="K175" s="5"/>
      <c r="L175" s="5"/>
    </row>
    <row r="176" customFormat="false" ht="15" hidden="false" customHeight="false" outlineLevel="0" collapsed="false">
      <c r="A176" s="7" t="s">
        <v>730</v>
      </c>
      <c r="B176" s="8" t="s">
        <v>722</v>
      </c>
      <c r="C176" s="7" t="s">
        <v>516</v>
      </c>
      <c r="D176" s="8" t="s">
        <v>731</v>
      </c>
      <c r="E176" s="8" t="s">
        <v>732</v>
      </c>
      <c r="F176" s="6" t="s">
        <v>19</v>
      </c>
      <c r="G176" s="7" t="s">
        <v>33</v>
      </c>
      <c r="H176" s="8" t="s">
        <v>733</v>
      </c>
      <c r="I176" s="8"/>
      <c r="J176" s="8"/>
      <c r="K176" s="8"/>
      <c r="L176" s="8"/>
    </row>
    <row r="177" customFormat="false" ht="15" hidden="false" customHeight="false" outlineLevel="0" collapsed="false">
      <c r="A177" s="4" t="s">
        <v>734</v>
      </c>
      <c r="B177" s="5" t="s">
        <v>722</v>
      </c>
      <c r="C177" s="4" t="s">
        <v>516</v>
      </c>
      <c r="D177" s="5" t="s">
        <v>735</v>
      </c>
      <c r="E177" s="5" t="s">
        <v>736</v>
      </c>
      <c r="F177" s="9" t="s">
        <v>50</v>
      </c>
      <c r="G177" s="4" t="s">
        <v>33</v>
      </c>
      <c r="H177" s="5" t="s">
        <v>737</v>
      </c>
      <c r="I177" s="5"/>
      <c r="J177" s="5"/>
      <c r="K177" s="5"/>
      <c r="L177" s="5"/>
    </row>
    <row r="178" customFormat="false" ht="15" hidden="false" customHeight="false" outlineLevel="0" collapsed="false">
      <c r="A178" s="7" t="s">
        <v>738</v>
      </c>
      <c r="B178" s="8" t="s">
        <v>722</v>
      </c>
      <c r="C178" s="7" t="s">
        <v>516</v>
      </c>
      <c r="D178" s="8" t="s">
        <v>739</v>
      </c>
      <c r="E178" s="8" t="s">
        <v>740</v>
      </c>
      <c r="F178" s="9" t="s">
        <v>50</v>
      </c>
      <c r="G178" s="7" t="s">
        <v>33</v>
      </c>
      <c r="H178" s="8" t="s">
        <v>741</v>
      </c>
      <c r="I178" s="8"/>
      <c r="J178" s="8"/>
      <c r="K178" s="8"/>
      <c r="L178" s="8"/>
    </row>
    <row r="179" customFormat="false" ht="15" hidden="false" customHeight="false" outlineLevel="0" collapsed="false">
      <c r="A179" s="4" t="s">
        <v>742</v>
      </c>
      <c r="B179" s="5" t="s">
        <v>722</v>
      </c>
      <c r="C179" s="4" t="s">
        <v>516</v>
      </c>
      <c r="D179" s="5" t="s">
        <v>743</v>
      </c>
      <c r="E179" s="5" t="s">
        <v>744</v>
      </c>
      <c r="F179" s="9" t="s">
        <v>50</v>
      </c>
      <c r="G179" s="4" t="s">
        <v>33</v>
      </c>
      <c r="H179" s="5" t="s">
        <v>745</v>
      </c>
      <c r="I179" s="5"/>
      <c r="J179" s="5"/>
      <c r="K179" s="5"/>
      <c r="L179" s="5"/>
    </row>
    <row r="180" customFormat="false" ht="23.85" hidden="false" customHeight="false" outlineLevel="0" collapsed="false">
      <c r="A180" s="7" t="s">
        <v>746</v>
      </c>
      <c r="B180" s="8" t="s">
        <v>722</v>
      </c>
      <c r="C180" s="7" t="s">
        <v>516</v>
      </c>
      <c r="D180" s="8" t="s">
        <v>747</v>
      </c>
      <c r="E180" s="8" t="s">
        <v>748</v>
      </c>
      <c r="F180" s="9" t="s">
        <v>50</v>
      </c>
      <c r="G180" s="7" t="s">
        <v>33</v>
      </c>
      <c r="H180" s="8" t="s">
        <v>749</v>
      </c>
      <c r="I180" s="8"/>
      <c r="J180" s="8"/>
      <c r="K180" s="8"/>
      <c r="L180" s="8"/>
    </row>
    <row r="181" customFormat="false" ht="15" hidden="false" customHeight="false" outlineLevel="0" collapsed="false">
      <c r="A181" s="4" t="s">
        <v>750</v>
      </c>
      <c r="B181" s="5" t="s">
        <v>722</v>
      </c>
      <c r="C181" s="4" t="s">
        <v>516</v>
      </c>
      <c r="D181" s="5" t="s">
        <v>751</v>
      </c>
      <c r="E181" s="5" t="s">
        <v>752</v>
      </c>
      <c r="F181" s="6" t="s">
        <v>19</v>
      </c>
      <c r="G181" s="4" t="s">
        <v>33</v>
      </c>
      <c r="H181" s="5" t="s">
        <v>753</v>
      </c>
      <c r="I181" s="5"/>
      <c r="J181" s="5"/>
      <c r="K181" s="5"/>
      <c r="L181" s="5"/>
    </row>
    <row r="182" customFormat="false" ht="15" hidden="false" customHeight="false" outlineLevel="0" collapsed="false">
      <c r="A182" s="7" t="s">
        <v>754</v>
      </c>
      <c r="B182" s="8" t="s">
        <v>722</v>
      </c>
      <c r="C182" s="7" t="s">
        <v>516</v>
      </c>
      <c r="D182" s="8" t="s">
        <v>755</v>
      </c>
      <c r="E182" s="8" t="s">
        <v>756</v>
      </c>
      <c r="F182" s="9" t="s">
        <v>50</v>
      </c>
      <c r="G182" s="7" t="s">
        <v>535</v>
      </c>
      <c r="H182" s="8" t="s">
        <v>757</v>
      </c>
      <c r="I182" s="8"/>
      <c r="J182" s="8"/>
      <c r="K182" s="8"/>
      <c r="L182" s="8"/>
    </row>
    <row r="183" customFormat="false" ht="15" hidden="false" customHeight="false" outlineLevel="0" collapsed="false">
      <c r="A183" s="4" t="s">
        <v>758</v>
      </c>
      <c r="B183" s="5" t="s">
        <v>722</v>
      </c>
      <c r="C183" s="4" t="s">
        <v>516</v>
      </c>
      <c r="D183" s="5" t="s">
        <v>759</v>
      </c>
      <c r="E183" s="5" t="s">
        <v>760</v>
      </c>
      <c r="F183" s="9" t="s">
        <v>50</v>
      </c>
      <c r="G183" s="4" t="s">
        <v>535</v>
      </c>
      <c r="H183" s="5" t="s">
        <v>761</v>
      </c>
      <c r="I183" s="5"/>
      <c r="J183" s="5"/>
      <c r="K183" s="5"/>
      <c r="L183" s="5"/>
    </row>
    <row r="184" customFormat="false" ht="15" hidden="false" customHeight="false" outlineLevel="0" collapsed="false">
      <c r="A184" s="7" t="s">
        <v>762</v>
      </c>
      <c r="B184" s="8" t="s">
        <v>763</v>
      </c>
      <c r="C184" s="7" t="s">
        <v>764</v>
      </c>
      <c r="D184" s="8" t="s">
        <v>765</v>
      </c>
      <c r="E184" s="8" t="s">
        <v>766</v>
      </c>
      <c r="F184" s="6" t="s">
        <v>19</v>
      </c>
      <c r="G184" s="7" t="s">
        <v>186</v>
      </c>
      <c r="H184" s="8" t="s">
        <v>767</v>
      </c>
      <c r="I184" s="8"/>
      <c r="J184" s="8"/>
      <c r="K184" s="8"/>
      <c r="L184" s="8"/>
    </row>
    <row r="185" customFormat="false" ht="15" hidden="false" customHeight="false" outlineLevel="0" collapsed="false">
      <c r="A185" s="4" t="s">
        <v>768</v>
      </c>
      <c r="B185" s="5" t="s">
        <v>763</v>
      </c>
      <c r="C185" s="4" t="s">
        <v>764</v>
      </c>
      <c r="D185" s="5" t="s">
        <v>769</v>
      </c>
      <c r="E185" s="5" t="s">
        <v>770</v>
      </c>
      <c r="F185" s="6" t="s">
        <v>19</v>
      </c>
      <c r="G185" s="4" t="s">
        <v>186</v>
      </c>
      <c r="H185" s="5" t="s">
        <v>771</v>
      </c>
      <c r="I185" s="5"/>
      <c r="J185" s="5"/>
      <c r="K185" s="5"/>
      <c r="L185" s="5"/>
    </row>
    <row r="186" customFormat="false" ht="15" hidden="false" customHeight="false" outlineLevel="0" collapsed="false">
      <c r="A186" s="7" t="s">
        <v>772</v>
      </c>
      <c r="B186" s="8" t="s">
        <v>763</v>
      </c>
      <c r="C186" s="7" t="s">
        <v>764</v>
      </c>
      <c r="D186" s="8" t="s">
        <v>521</v>
      </c>
      <c r="E186" s="8" t="s">
        <v>773</v>
      </c>
      <c r="F186" s="6" t="s">
        <v>19</v>
      </c>
      <c r="G186" s="7" t="s">
        <v>186</v>
      </c>
      <c r="H186" s="8" t="s">
        <v>774</v>
      </c>
      <c r="I186" s="8"/>
      <c r="J186" s="8"/>
      <c r="K186" s="8"/>
      <c r="L186" s="8"/>
    </row>
    <row r="187" customFormat="false" ht="15" hidden="false" customHeight="false" outlineLevel="0" collapsed="false">
      <c r="A187" s="4" t="s">
        <v>775</v>
      </c>
      <c r="B187" s="5" t="s">
        <v>763</v>
      </c>
      <c r="C187" s="4" t="s">
        <v>764</v>
      </c>
      <c r="D187" s="5" t="s">
        <v>776</v>
      </c>
      <c r="E187" s="5" t="s">
        <v>777</v>
      </c>
      <c r="F187" s="6" t="s">
        <v>19</v>
      </c>
      <c r="G187" s="4" t="s">
        <v>186</v>
      </c>
      <c r="H187" s="5" t="s">
        <v>778</v>
      </c>
      <c r="I187" s="5"/>
      <c r="J187" s="5"/>
      <c r="K187" s="5"/>
      <c r="L187" s="5"/>
    </row>
    <row r="188" customFormat="false" ht="15" hidden="false" customHeight="false" outlineLevel="0" collapsed="false">
      <c r="A188" s="7" t="s">
        <v>779</v>
      </c>
      <c r="B188" s="8" t="s">
        <v>763</v>
      </c>
      <c r="C188" s="7" t="s">
        <v>764</v>
      </c>
      <c r="D188" s="8" t="s">
        <v>780</v>
      </c>
      <c r="E188" s="8" t="s">
        <v>781</v>
      </c>
      <c r="F188" s="9" t="s">
        <v>50</v>
      </c>
      <c r="G188" s="7" t="s">
        <v>186</v>
      </c>
      <c r="H188" s="8" t="s">
        <v>782</v>
      </c>
      <c r="I188" s="8"/>
      <c r="J188" s="8"/>
      <c r="K188" s="8"/>
      <c r="L188" s="8"/>
    </row>
    <row r="189" customFormat="false" ht="23.85" hidden="false" customHeight="false" outlineLevel="0" collapsed="false">
      <c r="A189" s="4" t="s">
        <v>783</v>
      </c>
      <c r="B189" s="5" t="s">
        <v>784</v>
      </c>
      <c r="C189" s="4" t="s">
        <v>784</v>
      </c>
      <c r="D189" s="5" t="s">
        <v>785</v>
      </c>
      <c r="E189" s="5" t="s">
        <v>786</v>
      </c>
      <c r="F189" s="4" t="s">
        <v>787</v>
      </c>
      <c r="G189" s="4" t="s">
        <v>787</v>
      </c>
      <c r="H189" s="5" t="s">
        <v>788</v>
      </c>
      <c r="I189" s="5"/>
      <c r="J189" s="5"/>
      <c r="K189" s="5"/>
      <c r="L189" s="5"/>
    </row>
    <row r="190" customFormat="false" ht="15" hidden="false" customHeight="false" outlineLevel="0" collapsed="false">
      <c r="A190" s="7" t="s">
        <v>789</v>
      </c>
      <c r="B190" s="8" t="s">
        <v>784</v>
      </c>
      <c r="C190" s="7" t="s">
        <v>784</v>
      </c>
      <c r="D190" s="8" t="s">
        <v>790</v>
      </c>
      <c r="E190" s="8" t="s">
        <v>791</v>
      </c>
      <c r="F190" s="7" t="s">
        <v>787</v>
      </c>
      <c r="G190" s="7" t="s">
        <v>787</v>
      </c>
      <c r="H190" s="8" t="s">
        <v>792</v>
      </c>
      <c r="I190" s="8"/>
      <c r="J190" s="8"/>
      <c r="K190" s="8"/>
      <c r="L190" s="8"/>
    </row>
    <row r="191" customFormat="false" ht="23.85" hidden="false" customHeight="false" outlineLevel="0" collapsed="false">
      <c r="A191" s="4" t="s">
        <v>793</v>
      </c>
      <c r="B191" s="5" t="s">
        <v>784</v>
      </c>
      <c r="C191" s="4" t="s">
        <v>784</v>
      </c>
      <c r="D191" s="5" t="s">
        <v>794</v>
      </c>
      <c r="E191" s="5" t="s">
        <v>795</v>
      </c>
      <c r="F191" s="4" t="s">
        <v>787</v>
      </c>
      <c r="G191" s="4" t="s">
        <v>787</v>
      </c>
      <c r="H191" s="5" t="s">
        <v>788</v>
      </c>
      <c r="I191" s="5"/>
      <c r="J191" s="5"/>
      <c r="K191" s="5"/>
      <c r="L191" s="5"/>
    </row>
    <row r="192" customFormat="false" ht="15" hidden="false" customHeight="false" outlineLevel="0" collapsed="false">
      <c r="A192" s="7" t="s">
        <v>796</v>
      </c>
      <c r="B192" s="8" t="s">
        <v>784</v>
      </c>
      <c r="C192" s="7" t="s">
        <v>784</v>
      </c>
      <c r="D192" s="8" t="s">
        <v>797</v>
      </c>
      <c r="E192" s="8" t="s">
        <v>798</v>
      </c>
      <c r="F192" s="7" t="s">
        <v>787</v>
      </c>
      <c r="G192" s="7" t="s">
        <v>787</v>
      </c>
      <c r="H192" s="8" t="s">
        <v>799</v>
      </c>
      <c r="I192" s="8"/>
      <c r="J192" s="8"/>
      <c r="K192" s="8"/>
      <c r="L192" s="8"/>
    </row>
    <row r="193" customFormat="false" ht="15" hidden="false" customHeight="false" outlineLevel="0" collapsed="false">
      <c r="A193" s="4" t="s">
        <v>800</v>
      </c>
      <c r="B193" s="5" t="s">
        <v>784</v>
      </c>
      <c r="C193" s="4" t="s">
        <v>784</v>
      </c>
      <c r="D193" s="5" t="s">
        <v>801</v>
      </c>
      <c r="E193" s="5" t="s">
        <v>802</v>
      </c>
      <c r="F193" s="4" t="s">
        <v>787</v>
      </c>
      <c r="G193" s="4" t="s">
        <v>787</v>
      </c>
      <c r="H193" s="5" t="s">
        <v>803</v>
      </c>
      <c r="I193" s="5"/>
      <c r="J193" s="5"/>
      <c r="K193" s="5"/>
      <c r="L193" s="5"/>
    </row>
    <row r="194" customFormat="false" ht="15" hidden="false" customHeight="false" outlineLevel="0" collapsed="false">
      <c r="A194" s="7" t="s">
        <v>804</v>
      </c>
      <c r="B194" s="8" t="s">
        <v>784</v>
      </c>
      <c r="C194" s="7" t="s">
        <v>784</v>
      </c>
      <c r="D194" s="8" t="s">
        <v>805</v>
      </c>
      <c r="E194" s="8" t="s">
        <v>806</v>
      </c>
      <c r="F194" s="7" t="s">
        <v>787</v>
      </c>
      <c r="G194" s="7" t="s">
        <v>787</v>
      </c>
      <c r="H194" s="8" t="s">
        <v>788</v>
      </c>
      <c r="I194" s="8"/>
      <c r="J194" s="8"/>
      <c r="K194" s="8"/>
      <c r="L194" s="8"/>
    </row>
    <row r="195" customFormat="false" ht="15" hidden="false" customHeight="false" outlineLevel="0" collapsed="false">
      <c r="A195" s="4" t="s">
        <v>807</v>
      </c>
      <c r="B195" s="5" t="s">
        <v>784</v>
      </c>
      <c r="C195" s="4" t="s">
        <v>784</v>
      </c>
      <c r="D195" s="5" t="s">
        <v>808</v>
      </c>
      <c r="E195" s="5" t="s">
        <v>809</v>
      </c>
      <c r="F195" s="4" t="s">
        <v>787</v>
      </c>
      <c r="G195" s="4" t="s">
        <v>787</v>
      </c>
      <c r="H195" s="5" t="s">
        <v>810</v>
      </c>
      <c r="I195" s="5"/>
      <c r="J195" s="5"/>
      <c r="K195" s="5"/>
      <c r="L195" s="5"/>
    </row>
    <row r="196" customFormat="false" ht="15" hidden="false" customHeight="false" outlineLevel="0" collapsed="false">
      <c r="A196" s="7" t="s">
        <v>811</v>
      </c>
      <c r="B196" s="8" t="s">
        <v>784</v>
      </c>
      <c r="C196" s="7" t="s">
        <v>784</v>
      </c>
      <c r="D196" s="8" t="s">
        <v>812</v>
      </c>
      <c r="E196" s="8" t="s">
        <v>813</v>
      </c>
      <c r="F196" s="7" t="s">
        <v>787</v>
      </c>
      <c r="G196" s="7" t="s">
        <v>787</v>
      </c>
      <c r="H196" s="8" t="s">
        <v>814</v>
      </c>
      <c r="I196" s="8"/>
      <c r="J196" s="8"/>
      <c r="K196" s="8"/>
      <c r="L196" s="8"/>
    </row>
  </sheetData>
  <autoFilter ref="A4:L196"/>
  <mergeCells count="2">
    <mergeCell ref="A1:L1"/>
    <mergeCell ref="A2:L2"/>
  </mergeCells>
  <dataValidations count="2">
    <dataValidation allowBlank="false" errorStyle="stop" operator="between" prompt="Select status" showDropDown="false" showErrorMessage="false" showInputMessage="false" sqref="I5:I196" type="list">
      <formula1>"Not Started,In Progress,Done,Blocked,Deferred"</formula1>
      <formula2>0</formula2>
    </dataValidation>
    <dataValidation allowBlank="false" errorStyle="stop" operator="between" showDropDown="false" showErrorMessage="false" showInputMessage="false" sqref="F5:F196" type="list">
      <formula1>"P0,P1,P2,P3,—"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8" min="6" style="0" width="10"/>
  </cols>
  <sheetData>
    <row r="1" customFormat="false" ht="39.75" hidden="false" customHeight="true" outlineLevel="0" collapsed="false">
      <c r="A1" s="1" t="s">
        <v>815</v>
      </c>
      <c r="B1" s="1"/>
      <c r="C1" s="1"/>
      <c r="D1" s="1"/>
      <c r="E1" s="1"/>
      <c r="F1" s="1"/>
      <c r="G1" s="1"/>
      <c r="H1" s="1"/>
    </row>
    <row r="3" customFormat="false" ht="16.15" hidden="false" customHeight="false" outlineLevel="0" collapsed="false">
      <c r="A3" s="11" t="s">
        <v>816</v>
      </c>
    </row>
    <row r="4" customFormat="false" ht="15" hidden="false" customHeight="false" outlineLevel="0" collapsed="false">
      <c r="A4" s="3" t="s">
        <v>4</v>
      </c>
      <c r="B4" s="3" t="s">
        <v>817</v>
      </c>
      <c r="C4" s="3" t="s">
        <v>818</v>
      </c>
    </row>
    <row r="5" customFormat="false" ht="15" hidden="false" customHeight="false" outlineLevel="0" collapsed="false">
      <c r="A5" s="12" t="s">
        <v>16</v>
      </c>
      <c r="B5" s="13" t="n">
        <v>107</v>
      </c>
      <c r="C5" s="14" t="n">
        <f aca="false">B5/B9</f>
        <v>0.614942528735632</v>
      </c>
    </row>
    <row r="6" customFormat="false" ht="15" hidden="false" customHeight="false" outlineLevel="0" collapsed="false">
      <c r="A6" s="12" t="s">
        <v>516</v>
      </c>
      <c r="B6" s="13" t="n">
        <v>54</v>
      </c>
      <c r="C6" s="14" t="n">
        <f aca="false">B6/B9</f>
        <v>0.310344827586207</v>
      </c>
    </row>
    <row r="7" customFormat="false" ht="15" hidden="false" customHeight="false" outlineLevel="0" collapsed="false">
      <c r="A7" s="12" t="s">
        <v>764</v>
      </c>
      <c r="B7" s="13" t="n">
        <v>5</v>
      </c>
      <c r="C7" s="14" t="n">
        <f aca="false">B7/B9</f>
        <v>0.028735632183908</v>
      </c>
    </row>
    <row r="8" customFormat="false" ht="15" hidden="false" customHeight="false" outlineLevel="0" collapsed="false">
      <c r="A8" s="12" t="s">
        <v>784</v>
      </c>
      <c r="B8" s="13" t="n">
        <v>8</v>
      </c>
      <c r="C8" s="14" t="n">
        <f aca="false">B8/B9</f>
        <v>0.0459770114942529</v>
      </c>
    </row>
    <row r="9" customFormat="false" ht="15" hidden="false" customHeight="false" outlineLevel="0" collapsed="false">
      <c r="A9" s="15" t="s">
        <v>819</v>
      </c>
      <c r="B9" s="16" t="n">
        <f aca="false">SUM(B5:B8)</f>
        <v>174</v>
      </c>
      <c r="C9" s="17" t="n">
        <v>1</v>
      </c>
    </row>
    <row r="11" customFormat="false" ht="16.15" hidden="false" customHeight="false" outlineLevel="0" collapsed="false">
      <c r="A11" s="11" t="s">
        <v>820</v>
      </c>
    </row>
    <row r="12" customFormat="false" ht="26.85" hidden="false" customHeight="false" outlineLevel="0" collapsed="false">
      <c r="A12" s="3" t="s">
        <v>7</v>
      </c>
      <c r="B12" s="3" t="s">
        <v>6</v>
      </c>
      <c r="C12" s="3" t="s">
        <v>817</v>
      </c>
      <c r="D12" s="3" t="s">
        <v>821</v>
      </c>
    </row>
    <row r="13" customFormat="false" ht="15" hidden="false" customHeight="false" outlineLevel="0" collapsed="false">
      <c r="A13" s="18" t="s">
        <v>19</v>
      </c>
      <c r="B13" s="19" t="s">
        <v>822</v>
      </c>
      <c r="C13" s="13" t="n">
        <v>75</v>
      </c>
      <c r="D13" s="14" t="n">
        <f aca="false">C13/C17</f>
        <v>0.454545454545455</v>
      </c>
    </row>
    <row r="14" customFormat="false" ht="15" hidden="false" customHeight="false" outlineLevel="0" collapsed="false">
      <c r="A14" s="20" t="s">
        <v>50</v>
      </c>
      <c r="B14" s="19" t="s">
        <v>823</v>
      </c>
      <c r="C14" s="13" t="n">
        <v>70</v>
      </c>
      <c r="D14" s="14" t="n">
        <f aca="false">C14/C17</f>
        <v>0.424242424242424</v>
      </c>
    </row>
    <row r="15" customFormat="false" ht="15" hidden="false" customHeight="false" outlineLevel="0" collapsed="false">
      <c r="A15" s="21" t="s">
        <v>292</v>
      </c>
      <c r="B15" s="19" t="s">
        <v>824</v>
      </c>
      <c r="C15" s="13" t="n">
        <v>15</v>
      </c>
      <c r="D15" s="14" t="n">
        <f aca="false">C15/C17</f>
        <v>0.0909090909090909</v>
      </c>
    </row>
    <row r="16" customFormat="false" ht="15" hidden="false" customHeight="false" outlineLevel="0" collapsed="false">
      <c r="A16" s="22" t="s">
        <v>825</v>
      </c>
      <c r="B16" s="19" t="s">
        <v>826</v>
      </c>
      <c r="C16" s="13" t="n">
        <v>5</v>
      </c>
      <c r="D16" s="14" t="n">
        <f aca="false">C16/C17</f>
        <v>0.0303030303030303</v>
      </c>
    </row>
    <row r="17" customFormat="false" ht="15" hidden="false" customHeight="false" outlineLevel="0" collapsed="false">
      <c r="A17" s="15" t="s">
        <v>819</v>
      </c>
      <c r="B17" s="15" t="s">
        <v>827</v>
      </c>
      <c r="C17" s="16" t="n">
        <f aca="false">SUM(C13:C16)</f>
        <v>165</v>
      </c>
      <c r="D17" s="17" t="n">
        <v>1</v>
      </c>
    </row>
    <row r="19" customFormat="false" ht="16.15" hidden="false" customHeight="false" outlineLevel="0" collapsed="false">
      <c r="A19" s="11" t="s">
        <v>828</v>
      </c>
    </row>
    <row r="20" customFormat="false" ht="15" hidden="false" customHeight="false" outlineLevel="0" collapsed="false">
      <c r="A20" s="3" t="s">
        <v>829</v>
      </c>
      <c r="B20" s="3" t="s">
        <v>16</v>
      </c>
      <c r="C20" s="3" t="s">
        <v>516</v>
      </c>
      <c r="D20" s="3" t="s">
        <v>764</v>
      </c>
      <c r="E20" s="3" t="s">
        <v>784</v>
      </c>
      <c r="F20" s="3" t="s">
        <v>830</v>
      </c>
    </row>
    <row r="21" customFormat="false" ht="15" hidden="false" customHeight="false" outlineLevel="0" collapsed="false">
      <c r="A21" s="23" t="s">
        <v>15</v>
      </c>
      <c r="B21" s="24" t="n">
        <v>16</v>
      </c>
      <c r="C21" s="24" t="n">
        <v>0</v>
      </c>
      <c r="D21" s="24" t="n">
        <v>0</v>
      </c>
      <c r="E21" s="24" t="n">
        <v>0</v>
      </c>
      <c r="F21" s="25" t="n">
        <f aca="false">SUM(B21:E21)</f>
        <v>16</v>
      </c>
    </row>
    <row r="22" customFormat="false" ht="15" hidden="false" customHeight="false" outlineLevel="0" collapsed="false">
      <c r="A22" s="19" t="s">
        <v>85</v>
      </c>
      <c r="B22" s="13" t="n">
        <v>6</v>
      </c>
      <c r="C22" s="13" t="n">
        <v>0</v>
      </c>
      <c r="D22" s="13" t="n">
        <v>0</v>
      </c>
      <c r="E22" s="13" t="n">
        <v>0</v>
      </c>
      <c r="F22" s="26" t="n">
        <f aca="false">SUM(B22:E22)</f>
        <v>6</v>
      </c>
    </row>
    <row r="23" customFormat="false" ht="15" hidden="false" customHeight="false" outlineLevel="0" collapsed="false">
      <c r="A23" s="23" t="s">
        <v>110</v>
      </c>
      <c r="B23" s="24" t="n">
        <v>16</v>
      </c>
      <c r="C23" s="24" t="n">
        <v>0</v>
      </c>
      <c r="D23" s="24" t="n">
        <v>0</v>
      </c>
      <c r="E23" s="24" t="n">
        <v>0</v>
      </c>
      <c r="F23" s="25" t="n">
        <f aca="false">SUM(B23:E23)</f>
        <v>16</v>
      </c>
    </row>
    <row r="24" customFormat="false" ht="15" hidden="false" customHeight="false" outlineLevel="0" collapsed="false">
      <c r="A24" s="19" t="s">
        <v>175</v>
      </c>
      <c r="B24" s="13" t="n">
        <v>18</v>
      </c>
      <c r="C24" s="13" t="n">
        <v>0</v>
      </c>
      <c r="D24" s="13" t="n">
        <v>0</v>
      </c>
      <c r="E24" s="13" t="n">
        <v>0</v>
      </c>
      <c r="F24" s="26" t="n">
        <f aca="false">SUM(B24:E24)</f>
        <v>18</v>
      </c>
    </row>
    <row r="25" customFormat="false" ht="15" hidden="false" customHeight="false" outlineLevel="0" collapsed="false">
      <c r="A25" s="23" t="s">
        <v>249</v>
      </c>
      <c r="B25" s="24" t="n">
        <v>13</v>
      </c>
      <c r="C25" s="24" t="n">
        <v>0</v>
      </c>
      <c r="D25" s="24" t="n">
        <v>0</v>
      </c>
      <c r="E25" s="24" t="n">
        <v>0</v>
      </c>
      <c r="F25" s="25" t="n">
        <f aca="false">SUM(B25:E25)</f>
        <v>13</v>
      </c>
    </row>
    <row r="26" customFormat="false" ht="15" hidden="false" customHeight="false" outlineLevel="0" collapsed="false">
      <c r="A26" s="19" t="s">
        <v>303</v>
      </c>
      <c r="B26" s="13" t="n">
        <v>6</v>
      </c>
      <c r="C26" s="13" t="n">
        <v>0</v>
      </c>
      <c r="D26" s="13" t="n">
        <v>0</v>
      </c>
      <c r="E26" s="13" t="n">
        <v>0</v>
      </c>
      <c r="F26" s="26" t="n">
        <f aca="false">SUM(B26:E26)</f>
        <v>6</v>
      </c>
    </row>
    <row r="27" customFormat="false" ht="15" hidden="false" customHeight="false" outlineLevel="0" collapsed="false">
      <c r="A27" s="23" t="s">
        <v>328</v>
      </c>
      <c r="B27" s="24" t="n">
        <v>8</v>
      </c>
      <c r="C27" s="24" t="n">
        <v>0</v>
      </c>
      <c r="D27" s="24" t="n">
        <v>0</v>
      </c>
      <c r="E27" s="24" t="n">
        <v>0</v>
      </c>
      <c r="F27" s="25" t="n">
        <f aca="false">SUM(B27:E27)</f>
        <v>8</v>
      </c>
    </row>
    <row r="28" customFormat="false" ht="15" hidden="false" customHeight="false" outlineLevel="0" collapsed="false">
      <c r="A28" s="19" t="s">
        <v>361</v>
      </c>
      <c r="B28" s="13" t="n">
        <v>5</v>
      </c>
      <c r="C28" s="13" t="n">
        <v>0</v>
      </c>
      <c r="D28" s="13" t="n">
        <v>0</v>
      </c>
      <c r="E28" s="13" t="n">
        <v>0</v>
      </c>
      <c r="F28" s="26" t="n">
        <f aca="false">SUM(B28:E28)</f>
        <v>5</v>
      </c>
    </row>
    <row r="29" customFormat="false" ht="15" hidden="false" customHeight="false" outlineLevel="0" collapsed="false">
      <c r="A29" s="23" t="s">
        <v>382</v>
      </c>
      <c r="B29" s="24" t="n">
        <v>7</v>
      </c>
      <c r="C29" s="24" t="n">
        <v>0</v>
      </c>
      <c r="D29" s="24" t="n">
        <v>0</v>
      </c>
      <c r="E29" s="24" t="n">
        <v>0</v>
      </c>
      <c r="F29" s="25" t="n">
        <f aca="false">SUM(B29:E29)</f>
        <v>7</v>
      </c>
    </row>
    <row r="30" customFormat="false" ht="15" hidden="false" customHeight="false" outlineLevel="0" collapsed="false">
      <c r="A30" s="19" t="s">
        <v>411</v>
      </c>
      <c r="B30" s="13" t="n">
        <v>9</v>
      </c>
      <c r="C30" s="13" t="n">
        <v>0</v>
      </c>
      <c r="D30" s="13" t="n">
        <v>0</v>
      </c>
      <c r="E30" s="13" t="n">
        <v>0</v>
      </c>
      <c r="F30" s="26" t="n">
        <f aca="false">SUM(B30:E30)</f>
        <v>9</v>
      </c>
    </row>
    <row r="31" customFormat="false" ht="15" hidden="false" customHeight="false" outlineLevel="0" collapsed="false">
      <c r="A31" s="23" t="s">
        <v>448</v>
      </c>
      <c r="B31" s="24" t="n">
        <v>4</v>
      </c>
      <c r="C31" s="24" t="n">
        <v>0</v>
      </c>
      <c r="D31" s="24" t="n">
        <v>0</v>
      </c>
      <c r="E31" s="24" t="n">
        <v>0</v>
      </c>
      <c r="F31" s="25" t="n">
        <f aca="false">SUM(B31:E31)</f>
        <v>4</v>
      </c>
    </row>
    <row r="32" customFormat="false" ht="15" hidden="false" customHeight="false" outlineLevel="0" collapsed="false">
      <c r="A32" s="19" t="s">
        <v>465</v>
      </c>
      <c r="B32" s="13" t="n">
        <v>7</v>
      </c>
      <c r="C32" s="13" t="n">
        <v>0</v>
      </c>
      <c r="D32" s="13" t="n">
        <v>0</v>
      </c>
      <c r="E32" s="13" t="n">
        <v>0</v>
      </c>
      <c r="F32" s="26" t="n">
        <f aca="false">SUM(B32:E32)</f>
        <v>7</v>
      </c>
    </row>
    <row r="33" customFormat="false" ht="15" hidden="false" customHeight="false" outlineLevel="0" collapsed="false">
      <c r="A33" s="23" t="s">
        <v>494</v>
      </c>
      <c r="B33" s="24" t="n">
        <v>5</v>
      </c>
      <c r="C33" s="24" t="n">
        <v>0</v>
      </c>
      <c r="D33" s="24" t="n">
        <v>0</v>
      </c>
      <c r="E33" s="24" t="n">
        <v>0</v>
      </c>
      <c r="F33" s="25" t="n">
        <f aca="false">SUM(B33:E33)</f>
        <v>5</v>
      </c>
    </row>
    <row r="34" customFormat="false" ht="15" hidden="false" customHeight="false" outlineLevel="0" collapsed="false">
      <c r="A34" s="19" t="s">
        <v>515</v>
      </c>
      <c r="B34" s="13" t="n">
        <v>0</v>
      </c>
      <c r="C34" s="13" t="n">
        <v>5</v>
      </c>
      <c r="D34" s="13" t="n">
        <v>0</v>
      </c>
      <c r="E34" s="13" t="n">
        <v>0</v>
      </c>
      <c r="F34" s="26" t="n">
        <f aca="false">SUM(B34:E34)</f>
        <v>5</v>
      </c>
    </row>
    <row r="35" customFormat="false" ht="15" hidden="false" customHeight="false" outlineLevel="0" collapsed="false">
      <c r="A35" s="23" t="s">
        <v>538</v>
      </c>
      <c r="B35" s="24" t="n">
        <v>0</v>
      </c>
      <c r="C35" s="24" t="n">
        <v>5</v>
      </c>
      <c r="D35" s="24" t="n">
        <v>0</v>
      </c>
      <c r="E35" s="24" t="n">
        <v>0</v>
      </c>
      <c r="F35" s="25" t="n">
        <f aca="false">SUM(B35:E35)</f>
        <v>5</v>
      </c>
    </row>
    <row r="36" customFormat="false" ht="15" hidden="false" customHeight="false" outlineLevel="0" collapsed="false">
      <c r="A36" s="19" t="s">
        <v>559</v>
      </c>
      <c r="B36" s="13" t="n">
        <v>0</v>
      </c>
      <c r="C36" s="13" t="n">
        <v>5</v>
      </c>
      <c r="D36" s="13" t="n">
        <v>0</v>
      </c>
      <c r="E36" s="13" t="n">
        <v>0</v>
      </c>
      <c r="F36" s="26" t="n">
        <f aca="false">SUM(B36:E36)</f>
        <v>5</v>
      </c>
    </row>
    <row r="37" customFormat="false" ht="15" hidden="false" customHeight="false" outlineLevel="0" collapsed="false">
      <c r="A37" s="23" t="s">
        <v>581</v>
      </c>
      <c r="B37" s="24" t="n">
        <v>0</v>
      </c>
      <c r="C37" s="24" t="n">
        <v>12</v>
      </c>
      <c r="D37" s="24" t="n">
        <v>0</v>
      </c>
      <c r="E37" s="24" t="n">
        <v>0</v>
      </c>
      <c r="F37" s="25" t="n">
        <f aca="false">SUM(B37:E37)</f>
        <v>12</v>
      </c>
    </row>
    <row r="38" customFormat="false" ht="15" hidden="false" customHeight="false" outlineLevel="0" collapsed="false">
      <c r="A38" s="19" t="s">
        <v>630</v>
      </c>
      <c r="B38" s="13" t="n">
        <v>0</v>
      </c>
      <c r="C38" s="13" t="n">
        <v>6</v>
      </c>
      <c r="D38" s="13" t="n">
        <v>0</v>
      </c>
      <c r="E38" s="13" t="n">
        <v>0</v>
      </c>
      <c r="F38" s="26" t="n">
        <f aca="false">SUM(B38:E38)</f>
        <v>6</v>
      </c>
    </row>
    <row r="39" customFormat="false" ht="15" hidden="false" customHeight="false" outlineLevel="0" collapsed="false">
      <c r="A39" s="23" t="s">
        <v>655</v>
      </c>
      <c r="B39" s="24" t="n">
        <v>0</v>
      </c>
      <c r="C39" s="24" t="n">
        <v>7</v>
      </c>
      <c r="D39" s="24" t="n">
        <v>0</v>
      </c>
      <c r="E39" s="24" t="n">
        <v>0</v>
      </c>
      <c r="F39" s="25" t="n">
        <f aca="false">SUM(B39:E39)</f>
        <v>7</v>
      </c>
    </row>
    <row r="40" customFormat="false" ht="15" hidden="false" customHeight="false" outlineLevel="0" collapsed="false">
      <c r="A40" s="19" t="s">
        <v>684</v>
      </c>
      <c r="B40" s="13" t="n">
        <v>0</v>
      </c>
      <c r="C40" s="13" t="n">
        <v>5</v>
      </c>
      <c r="D40" s="13" t="n">
        <v>0</v>
      </c>
      <c r="E40" s="13" t="n">
        <v>0</v>
      </c>
      <c r="F40" s="26" t="n">
        <f aca="false">SUM(B40:E40)</f>
        <v>5</v>
      </c>
    </row>
    <row r="41" customFormat="false" ht="15" hidden="false" customHeight="false" outlineLevel="0" collapsed="false">
      <c r="A41" s="23" t="s">
        <v>705</v>
      </c>
      <c r="B41" s="24" t="n">
        <v>0</v>
      </c>
      <c r="C41" s="24" t="n">
        <v>4</v>
      </c>
      <c r="D41" s="24" t="n">
        <v>0</v>
      </c>
      <c r="E41" s="24" t="n">
        <v>0</v>
      </c>
      <c r="F41" s="25" t="n">
        <f aca="false">SUM(B41:E41)</f>
        <v>4</v>
      </c>
    </row>
    <row r="42" customFormat="false" ht="15" hidden="false" customHeight="false" outlineLevel="0" collapsed="false">
      <c r="A42" s="19" t="s">
        <v>722</v>
      </c>
      <c r="B42" s="13" t="n">
        <v>0</v>
      </c>
      <c r="C42" s="13" t="n">
        <v>10</v>
      </c>
      <c r="D42" s="13" t="n">
        <v>0</v>
      </c>
      <c r="E42" s="13" t="n">
        <v>0</v>
      </c>
      <c r="F42" s="26" t="n">
        <f aca="false">SUM(B42:E42)</f>
        <v>10</v>
      </c>
    </row>
    <row r="43" customFormat="false" ht="15" hidden="false" customHeight="false" outlineLevel="0" collapsed="false">
      <c r="A43" s="23" t="s">
        <v>763</v>
      </c>
      <c r="B43" s="24" t="n">
        <v>0</v>
      </c>
      <c r="C43" s="24" t="n">
        <v>0</v>
      </c>
      <c r="D43" s="24" t="n">
        <v>5</v>
      </c>
      <c r="E43" s="24" t="n">
        <v>0</v>
      </c>
      <c r="F43" s="25" t="n">
        <f aca="false">SUM(B43:E43)</f>
        <v>5</v>
      </c>
    </row>
    <row r="44" customFormat="false" ht="15" hidden="false" customHeight="false" outlineLevel="0" collapsed="false">
      <c r="A44" s="19" t="s">
        <v>784</v>
      </c>
      <c r="B44" s="13" t="n">
        <v>0</v>
      </c>
      <c r="C44" s="13" t="n">
        <v>0</v>
      </c>
      <c r="D44" s="13" t="n">
        <v>0</v>
      </c>
      <c r="E44" s="13" t="n">
        <v>8</v>
      </c>
      <c r="F44" s="26" t="n">
        <f aca="false">SUM(B44:E44)</f>
        <v>8</v>
      </c>
    </row>
    <row r="45" customFormat="false" ht="15" hidden="false" customHeight="false" outlineLevel="0" collapsed="false">
      <c r="A45" s="27" t="s">
        <v>831</v>
      </c>
      <c r="B45" s="16" t="n">
        <f aca="false">SUM(B21:B44)</f>
        <v>120</v>
      </c>
      <c r="C45" s="16" t="n">
        <f aca="false">SUM(C21:C44)</f>
        <v>59</v>
      </c>
      <c r="D45" s="16" t="n">
        <f aca="false">SUM(D21:D44)</f>
        <v>5</v>
      </c>
      <c r="E45" s="16" t="n">
        <f aca="false">SUM(E21:E44)</f>
        <v>8</v>
      </c>
      <c r="F45" s="16" t="n">
        <f aca="false">SUM(F21:F44)</f>
        <v>192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35"/>
    <col collapsed="false" customWidth="true" hidden="false" outlineLevel="0" max="6" min="6" style="0" width="10"/>
  </cols>
  <sheetData>
    <row r="1" customFormat="false" ht="36" hidden="false" customHeight="true" outlineLevel="0" collapsed="false">
      <c r="A1" s="28" t="s">
        <v>832</v>
      </c>
      <c r="B1" s="28"/>
      <c r="C1" s="28"/>
      <c r="D1" s="28"/>
      <c r="E1" s="28"/>
      <c r="F1" s="28"/>
    </row>
    <row r="3" customFormat="false" ht="15" hidden="false" customHeight="false" outlineLevel="0" collapsed="false">
      <c r="A3" s="3" t="s">
        <v>833</v>
      </c>
      <c r="B3" s="3" t="s">
        <v>834</v>
      </c>
      <c r="C3" s="3" t="s">
        <v>835</v>
      </c>
      <c r="D3" s="3" t="s">
        <v>836</v>
      </c>
      <c r="E3" s="3" t="s">
        <v>837</v>
      </c>
      <c r="F3" s="3" t="s">
        <v>8</v>
      </c>
    </row>
    <row r="4" customFormat="false" ht="15" hidden="false" customHeight="false" outlineLevel="0" collapsed="false">
      <c r="A4" s="7" t="s">
        <v>762</v>
      </c>
      <c r="B4" s="8" t="s">
        <v>765</v>
      </c>
      <c r="C4" s="8" t="s">
        <v>838</v>
      </c>
      <c r="D4" s="8" t="s">
        <v>839</v>
      </c>
      <c r="E4" s="8" t="s">
        <v>840</v>
      </c>
      <c r="F4" s="7" t="s">
        <v>186</v>
      </c>
    </row>
    <row r="5" customFormat="false" ht="15" hidden="false" customHeight="false" outlineLevel="0" collapsed="false">
      <c r="A5" s="4" t="s">
        <v>768</v>
      </c>
      <c r="B5" s="5" t="s">
        <v>769</v>
      </c>
      <c r="C5" s="5" t="s">
        <v>841</v>
      </c>
      <c r="D5" s="5" t="s">
        <v>842</v>
      </c>
      <c r="E5" s="5" t="s">
        <v>843</v>
      </c>
      <c r="F5" s="4" t="s">
        <v>186</v>
      </c>
    </row>
    <row r="6" customFormat="false" ht="15" hidden="false" customHeight="false" outlineLevel="0" collapsed="false">
      <c r="A6" s="7" t="s">
        <v>772</v>
      </c>
      <c r="B6" s="8" t="s">
        <v>521</v>
      </c>
      <c r="C6" s="8" t="s">
        <v>844</v>
      </c>
      <c r="D6" s="8" t="s">
        <v>845</v>
      </c>
      <c r="E6" s="8" t="s">
        <v>846</v>
      </c>
      <c r="F6" s="7" t="s">
        <v>186</v>
      </c>
    </row>
    <row r="7" customFormat="false" ht="15" hidden="false" customHeight="false" outlineLevel="0" collapsed="false">
      <c r="A7" s="4" t="s">
        <v>775</v>
      </c>
      <c r="B7" s="5" t="s">
        <v>776</v>
      </c>
      <c r="C7" s="5" t="s">
        <v>847</v>
      </c>
      <c r="D7" s="5" t="s">
        <v>848</v>
      </c>
      <c r="E7" s="5" t="s">
        <v>849</v>
      </c>
      <c r="F7" s="4" t="s">
        <v>186</v>
      </c>
    </row>
    <row r="8" customFormat="false" ht="15" hidden="false" customHeight="false" outlineLevel="0" collapsed="false">
      <c r="A8" s="7" t="s">
        <v>779</v>
      </c>
      <c r="B8" s="8" t="s">
        <v>780</v>
      </c>
      <c r="C8" s="8" t="s">
        <v>850</v>
      </c>
      <c r="D8" s="8" t="s">
        <v>851</v>
      </c>
      <c r="E8" s="8" t="s">
        <v>852</v>
      </c>
      <c r="F8" s="7" t="s">
        <v>186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48"/>
    <col collapsed="false" customWidth="true" hidden="false" outlineLevel="0" max="4" min="4" style="0" width="14"/>
  </cols>
  <sheetData>
    <row r="1" customFormat="false" ht="36" hidden="false" customHeight="true" outlineLevel="0" collapsed="false">
      <c r="A1" s="28" t="s">
        <v>853</v>
      </c>
      <c r="B1" s="28"/>
      <c r="C1" s="28"/>
      <c r="D1" s="28"/>
    </row>
    <row r="3" customFormat="false" ht="15" hidden="false" customHeight="false" outlineLevel="0" collapsed="false">
      <c r="A3" s="3" t="s">
        <v>2</v>
      </c>
      <c r="B3" s="3" t="s">
        <v>854</v>
      </c>
      <c r="C3" s="3" t="s">
        <v>855</v>
      </c>
      <c r="D3" s="3" t="s">
        <v>856</v>
      </c>
    </row>
    <row r="4" customFormat="false" ht="15" hidden="false" customHeight="false" outlineLevel="0" collapsed="false">
      <c r="A4" s="7" t="s">
        <v>783</v>
      </c>
      <c r="B4" s="8" t="s">
        <v>785</v>
      </c>
      <c r="C4" s="8" t="s">
        <v>786</v>
      </c>
      <c r="D4" s="7" t="s">
        <v>788</v>
      </c>
    </row>
    <row r="5" customFormat="false" ht="15" hidden="false" customHeight="false" outlineLevel="0" collapsed="false">
      <c r="A5" s="4" t="s">
        <v>789</v>
      </c>
      <c r="B5" s="5" t="s">
        <v>790</v>
      </c>
      <c r="C5" s="5" t="s">
        <v>791</v>
      </c>
      <c r="D5" s="4" t="s">
        <v>792</v>
      </c>
    </row>
    <row r="6" customFormat="false" ht="15" hidden="false" customHeight="false" outlineLevel="0" collapsed="false">
      <c r="A6" s="7" t="s">
        <v>793</v>
      </c>
      <c r="B6" s="8" t="s">
        <v>794</v>
      </c>
      <c r="C6" s="8" t="s">
        <v>795</v>
      </c>
      <c r="D6" s="7" t="s">
        <v>788</v>
      </c>
    </row>
    <row r="7" customFormat="false" ht="15" hidden="false" customHeight="false" outlineLevel="0" collapsed="false">
      <c r="A7" s="4" t="s">
        <v>796</v>
      </c>
      <c r="B7" s="5" t="s">
        <v>797</v>
      </c>
      <c r="C7" s="5" t="s">
        <v>857</v>
      </c>
      <c r="D7" s="4" t="s">
        <v>799</v>
      </c>
    </row>
    <row r="8" customFormat="false" ht="15" hidden="false" customHeight="false" outlineLevel="0" collapsed="false">
      <c r="A8" s="7" t="s">
        <v>800</v>
      </c>
      <c r="B8" s="8" t="s">
        <v>801</v>
      </c>
      <c r="C8" s="8" t="s">
        <v>802</v>
      </c>
      <c r="D8" s="7" t="s">
        <v>803</v>
      </c>
    </row>
    <row r="9" customFormat="false" ht="15" hidden="false" customHeight="false" outlineLevel="0" collapsed="false">
      <c r="A9" s="4" t="s">
        <v>804</v>
      </c>
      <c r="B9" s="5" t="s">
        <v>805</v>
      </c>
      <c r="C9" s="5" t="s">
        <v>806</v>
      </c>
      <c r="D9" s="4" t="s">
        <v>788</v>
      </c>
    </row>
    <row r="10" customFormat="false" ht="15" hidden="false" customHeight="false" outlineLevel="0" collapsed="false">
      <c r="A10" s="7" t="s">
        <v>807</v>
      </c>
      <c r="B10" s="8" t="s">
        <v>808</v>
      </c>
      <c r="C10" s="8" t="s">
        <v>809</v>
      </c>
      <c r="D10" s="7" t="s">
        <v>810</v>
      </c>
    </row>
    <row r="11" customFormat="false" ht="15" hidden="false" customHeight="false" outlineLevel="0" collapsed="false">
      <c r="A11" s="4" t="s">
        <v>811</v>
      </c>
      <c r="B11" s="5" t="s">
        <v>812</v>
      </c>
      <c r="C11" s="5" t="s">
        <v>858</v>
      </c>
      <c r="D11" s="4" t="s">
        <v>814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2026-04-13T12:10:50Z</dcterms:created>
  <dc:creator>openpyxl</dc:creator>
  <dc:description/>
  <dc:language>en-US</dc:language>
  <cp:lastModifiedBy/>
  <dcterms:modified xsi:type="dcterms:W3CDTF">2026-04-13T17:40:57Z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